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ặt vặt" sheetId="1" r:id="rId5"/>
    <sheet state="visible" name="Chương trình" sheetId="2" r:id="rId6"/>
    <sheet state="visible" name="Danh sách MASTER" sheetId="3" r:id="rId7"/>
    <sheet state="visible" name="Menu" sheetId="4" r:id="rId8"/>
    <sheet state="visible" name="Agenda Gala" sheetId="5" r:id="rId9"/>
    <sheet state="visible" name="Chi phí" sheetId="6" r:id="rId10"/>
    <sheet state="visible" name="Sắp xếp phòng" sheetId="7" r:id="rId11"/>
    <sheet state="visible" name="Check list detail" sheetId="8" r:id="rId12"/>
    <sheet state="visible" name="Checklist on air" sheetId="9" r:id="rId13"/>
    <sheet state="visible" name="Sinh nhật" sheetId="10" r:id="rId14"/>
    <sheet state="visible" name="Quà" sheetId="11" r:id="rId15"/>
    <sheet state="hidden" name="ko dùng" sheetId="12" r:id="rId16"/>
    <sheet state="visible" name="Văn nghệ" sheetId="13" r:id="rId17"/>
  </sheets>
  <definedNames>
    <definedName hidden="1" localSheetId="2" name="_xlnm._FilterDatabase">'Danh sách MASTER'!$A$3:$AI$113</definedName>
    <definedName hidden="1" localSheetId="6" name="_xlnm._FilterDatabase">'Sắp xếp phòng'!$A$6:$Z$40</definedName>
  </definedNames>
  <calcPr/>
  <pivotCaches>
    <pivotCache cacheId="0" r:id="rId1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tc={4f1467fb-8084-4e37-9879-fd1eb07c79cb}</author>
    <author>tc={71b7aa1d-de1d-4eda-8440-7c201e87700c}</author>
    <author>tc={7db79a86-1b20-47dc-bb82-e9a83a3fffcf}</author>
    <author>tc={b165e747-dbc3-48ec-bd6f-782cc2713879}</author>
    <author>tc={c0c83233-b95f-4646-8ae5-ba40f147005a}</author>
  </authors>
  <commentList>
    <comment authorId="0" xr:uid="{4f1467fb-8084-4e37-9879-fd1eb07c79cb}" ref="O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ăn trưa đón đoàn CB
</t>
      </text>
    </comment>
    <comment authorId="1" xr:uid="{71b7aa1d-de1d-4eda-8440-7c201e87700c}" ref="C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xem có tham gia không hay vẫn công tác Tây Nguyên
</t>
      </text>
    </comment>
    <comment authorId="2" xr:uid="{7db79a86-1b20-47dc-bb82-e9a83a3fffcf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Không tham gia
</t>
      </text>
    </comment>
    <comment authorId="3" xr:uid="{b165e747-dbc3-48ec-bd6f-782cc2713879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Không tham gia
</t>
      </text>
    </comment>
    <comment authorId="4" xr:uid="{c0c83233-b95f-4646-8ae5-ba40f147005a}" ref="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Trưởng xe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tc={5a06c489-e547-4139-a9ec-c502f9cc884b}</author>
  </authors>
  <commentList>
    <comment authorId="0" xr:uid="{5a06c489-e547-4139-a9ec-c502f9cc884b}" ref="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vlookup từ sheet master
</t>
      </text>
    </comment>
  </commentList>
</comments>
</file>

<file path=xl/sharedStrings.xml><?xml version="1.0" encoding="utf-8"?>
<sst xmlns="http://schemas.openxmlformats.org/spreadsheetml/2006/main" count="2461" uniqueCount="1133">
  <si>
    <t>KHẢO SÁT DỊCH VỤ</t>
  </si>
  <si>
    <t>STT</t>
  </si>
  <si>
    <t>Dịch vụ</t>
  </si>
  <si>
    <t>NCC</t>
  </si>
  <si>
    <t>Liên hệ</t>
  </si>
  <si>
    <t>Chi phí</t>
  </si>
  <si>
    <t>Source</t>
  </si>
  <si>
    <t>Media</t>
  </si>
  <si>
    <t>Thợ Chã village</t>
  </si>
  <si>
    <t>- 1 thợ chụp: 1tr5
- Video recap: 2tr5
- Video full: 2 tr</t>
  </si>
  <si>
    <t>Ánh MKT</t>
  </si>
  <si>
    <t>Xe Cao Bằng - Hạ Long</t>
  </si>
  <si>
    <t>Ăn trưa ngày 5/10</t>
  </si>
  <si>
    <t>Nhà hàng Thăng Long</t>
  </si>
  <si>
    <t>Khách sạn</t>
  </si>
  <si>
    <t>New star</t>
  </si>
  <si>
    <t>Ms. Linh sales 093 688 03 86</t>
  </si>
  <si>
    <t>Chị Hương push từ chủ đầu tư</t>
  </si>
  <si>
    <t>Nhà hàng</t>
  </si>
  <si>
    <t>Thiên Anh</t>
  </si>
  <si>
    <t>Quyên (fm chị Hương)</t>
  </si>
  <si>
    <t xml:space="preserve">Nhà hàng </t>
  </si>
  <si>
    <t>Thăng Long</t>
  </si>
  <si>
    <t>Tàu 99 chỗ</t>
  </si>
  <si>
    <t>Aurora</t>
  </si>
  <si>
    <t>- 910k/khách (đã Vat) 
phụ thu 35 slot trống 200k/slot</t>
  </si>
  <si>
    <t>Phương án 1</t>
  </si>
  <si>
    <t>Tàu đi tuyến 1. 3h-3,5h. 
Tiền tàu: 6.500.000
Vé 330.000/ người</t>
  </si>
  <si>
    <t>Phương án 2</t>
  </si>
  <si>
    <t>Tàu tuyến 2 5,5-6h
Ghép: 750k/khách
Thuê riêng: 800k/khách
Bao gồm: tàu, vé vịnh, ăn buffet trưa
Không bao gồm kayak hang luồn</t>
  </si>
  <si>
    <t>Nếu cắt Titop thì về sớm khoảng 30 phút</t>
  </si>
  <si>
    <t>Make up</t>
  </si>
  <si>
    <t>Lã Thu Uyên makeup</t>
  </si>
  <si>
    <t>0𝟵𝟲𝟮𝟲𝟳𝟳𝟮𝟵𝟴</t>
  </si>
  <si>
    <t>Ăn tối ngày 6/10 tại Lạng Sơn</t>
  </si>
  <si>
    <t>Nhà hàng The Pride</t>
  </si>
  <si>
    <t>0869661689 Lễ tân</t>
  </si>
  <si>
    <t>Số lượng makeup và làm tóc để báo thợ</t>
  </si>
  <si>
    <t>Make + tóc</t>
  </si>
  <si>
    <t>tóc lẻ</t>
  </si>
  <si>
    <t>Cao Bằng</t>
  </si>
  <si>
    <t>Quảng Ninh</t>
  </si>
  <si>
    <t>Quyên</t>
  </si>
  <si>
    <t>Ngân, Trà</t>
  </si>
  <si>
    <t>Chị Nga bếp mua</t>
  </si>
  <si>
    <t>Ngày 5/10/2026</t>
  </si>
  <si>
    <t>11h đoàn CB vào văn phòng</t>
  </si>
  <si>
    <t>Mua hoa quả tiếp đoàn: 35 người:</t>
  </si>
  <si>
    <t>2 quả dưa hấu</t>
  </si>
  <si>
    <t>Ổi 5kg</t>
  </si>
  <si>
    <t>Tàu 6/10/2026 (4 tiếng)</t>
  </si>
  <si>
    <t>Mực khô + tương ớt(nếu còn)</t>
  </si>
  <si>
    <t>Hồng giòn, củ đậu, dao 2 con</t>
  </si>
  <si>
    <t>Giấy ăn khô</t>
  </si>
  <si>
    <t>Túi bóng</t>
  </si>
  <si>
    <t>Găng tay nilon</t>
  </si>
  <si>
    <t>Hạt hướng dương</t>
  </si>
  <si>
    <t>LỊCH TRÌNH CHƯƠNG TRÌNH DU LỊCH CAO BẰNG - HẠ LONG</t>
  </si>
  <si>
    <t>Ngày</t>
  </si>
  <si>
    <t>Thời gian</t>
  </si>
  <si>
    <t>Hoạt động</t>
  </si>
  <si>
    <t>04h00</t>
  </si>
  <si>
    <t>Xe đón đoàn từ Tà Lùng - Thành phố Cao Bằng - Quảng Ninh</t>
  </si>
  <si>
    <t>07h00</t>
  </si>
  <si>
    <t>Ăn sáng tại Lạng Sơn</t>
  </si>
  <si>
    <t>11h00</t>
  </si>
  <si>
    <t>Đoàn tới Quảng Ninh, ghé thăm Văn phòng đại diện công ty</t>
  </si>
  <si>
    <t>11h30</t>
  </si>
  <si>
    <t>Đoàn di chuyển ra ăn trưa tại nhà hàng Thiên Anh</t>
  </si>
  <si>
    <t>14h00</t>
  </si>
  <si>
    <t>Đoàn Cao Bằng nhận phòng khách sạn New Star Halong hotel</t>
  </si>
  <si>
    <t>15h00</t>
  </si>
  <si>
    <t>Nghỉ ngơi, vui chơi tự do</t>
  </si>
  <si>
    <t>18h00</t>
  </si>
  <si>
    <t>Băt đầu Gala tại Trung tâm tổ chức sự kiện Thăng Long</t>
  </si>
  <si>
    <t>21h00</t>
  </si>
  <si>
    <t>Kết thúc Gala, đoàn vui chơi tự do, khám phá Hạ Long về đêm</t>
  </si>
  <si>
    <t>Ăn sáng tại khách sạn</t>
  </si>
  <si>
    <t>07h30</t>
  </si>
  <si>
    <t>Xe đón đoàn ra cảng tàu khách quốc tế Hạ Long. Khách lên tàu thăm quan vịnh Hạ Long</t>
  </si>
  <si>
    <t>08h00</t>
  </si>
  <si>
    <t>Tàu xuất bến. Du khách ngắm cảnh và sử dụng dịch vụ trên tàu. Trong hành trình, khách sẽ thăm quan động Thiên Cung và hang Đầu Gỗ</t>
  </si>
  <si>
    <t>12h00</t>
  </si>
  <si>
    <t>Tàu cập bến. Xe đón đoàn di chuyển đến nhà hàng Thiên Tân ăn trưa</t>
  </si>
  <si>
    <t>Khách lên xe về Cao Bằng. Đoàn Quảng Ninh và Cao Bằng chia tay</t>
  </si>
  <si>
    <t>Đoàn Cao Bằng dừng chân ăn tối tại Lạng Sơn</t>
  </si>
  <si>
    <t>23h00</t>
  </si>
  <si>
    <t>Đoàn về lại Tà Lùng và thành phố Cao Bằng. Kết thúc hành trình</t>
  </si>
  <si>
    <t>DANH SÁCH NHÂN VIÊN THAM DỰ CHƯƠNG TRÌNH KỶ NIỆM 1 NĂM RA MẮT THƯƠNG HIỆU TÀ LÙNG QUANG MINH 2026</t>
  </si>
  <si>
    <t>Sáng 05/10/2026</t>
  </si>
  <si>
    <t>Ngày 05/10/2026</t>
  </si>
  <si>
    <t>Tối ngày 05/10/2026</t>
  </si>
  <si>
    <t>Sáng ngày 06/10/2026</t>
  </si>
  <si>
    <t>Trưa ngày 06/10/2026</t>
  </si>
  <si>
    <t>Tối ngày 06/10/2026</t>
  </si>
  <si>
    <t>Mã nhân viên</t>
  </si>
  <si>
    <t>Họ và tên</t>
  </si>
  <si>
    <t>Phòng ban</t>
  </si>
  <si>
    <t>Bộ phận</t>
  </si>
  <si>
    <t>Vị trí</t>
  </si>
  <si>
    <t>Đối tượng</t>
  </si>
  <si>
    <t>Giới tính</t>
  </si>
  <si>
    <t>Di chuyển từ</t>
  </si>
  <si>
    <t>Tham dự chương trình du lịch</t>
  </si>
  <si>
    <t>Thuê xe Cao Bằng - Quảng Ninh</t>
  </si>
  <si>
    <t>Ghi chú đi cùng xe ai (nếu ko đi xe to cùng đoàn)</t>
  </si>
  <si>
    <t>Ăn sáng trên đường đi (NV Cao Bằng)</t>
  </si>
  <si>
    <t>Ăn trưa nhà hàng</t>
  </si>
  <si>
    <t>Dự tiệc Gala</t>
  </si>
  <si>
    <t>Đi thuyền thăm vịnh Hạ Long</t>
  </si>
  <si>
    <t>Ăn trưa</t>
  </si>
  <si>
    <t>Ăn tối (NV Cao Bằng)</t>
  </si>
  <si>
    <t>Lý do không tham gia</t>
  </si>
  <si>
    <t>Ghi chú</t>
  </si>
  <si>
    <t>Công ty</t>
  </si>
  <si>
    <t>Công ty xuất hoá đơn</t>
  </si>
  <si>
    <t>005</t>
  </si>
  <si>
    <t>Vũ Việt Tùng</t>
  </si>
  <si>
    <t>Ban Tổng Giám đốc</t>
  </si>
  <si>
    <t>Quản lý chung</t>
  </si>
  <si>
    <t>Phó Tổng Giám đốc</t>
  </si>
  <si>
    <t>Nhân viên</t>
  </si>
  <si>
    <t>Nam</t>
  </si>
  <si>
    <t>Phú Anh</t>
  </si>
  <si>
    <t>087</t>
  </si>
  <si>
    <t>Đinh Thị Bờ</t>
  </si>
  <si>
    <t>Hành chính - Nhân sự</t>
  </si>
  <si>
    <t>Hành chính</t>
  </si>
  <si>
    <t>Nhân viên bếp</t>
  </si>
  <si>
    <t>Nữ</t>
  </si>
  <si>
    <t>Sơn Cảng</t>
  </si>
  <si>
    <t>069</t>
  </si>
  <si>
    <t>Đinh Văn Thảo</t>
  </si>
  <si>
    <t>Nhân viên Lái xe</t>
  </si>
  <si>
    <t>Đi cùng anh Lợi</t>
  </si>
  <si>
    <t>037</t>
  </si>
  <si>
    <t>Phạm Thị Hằng</t>
  </si>
  <si>
    <t>Nhân viên tạp vụ</t>
  </si>
  <si>
    <t>068</t>
  </si>
  <si>
    <t>Hà Thị Hòa</t>
  </si>
  <si>
    <t>016</t>
  </si>
  <si>
    <t>Bế Ngọc Dung</t>
  </si>
  <si>
    <t>Nhân viên Hành chính - Nhân sự</t>
  </si>
  <si>
    <t>Hà Huy Hùng</t>
  </si>
  <si>
    <t>Kế hoạch - Dự án</t>
  </si>
  <si>
    <t>Ban Quản lý dự án</t>
  </si>
  <si>
    <t>Kỹ sư cơ điện</t>
  </si>
  <si>
    <t>trùng lịch học</t>
  </si>
  <si>
    <t>066</t>
  </si>
  <si>
    <t>Nguyễn Quang Đạt</t>
  </si>
  <si>
    <t>Trưởng ban Quản lý dự án</t>
  </si>
  <si>
    <t>Tà Lùng Quang Minh</t>
  </si>
  <si>
    <t>027</t>
  </si>
  <si>
    <t>Lương Văn Hiện</t>
  </si>
  <si>
    <t>Trưởng phòng Kế hoạch - Dự án</t>
  </si>
  <si>
    <t/>
  </si>
  <si>
    <t>055</t>
  </si>
  <si>
    <t>Hà Đoàn Diệu</t>
  </si>
  <si>
    <t>Kế hoạch và Pháp lý</t>
  </si>
  <si>
    <t>Chuyên viên Kế hoạch - Dự án</t>
  </si>
  <si>
    <t>013</t>
  </si>
  <si>
    <t>Phạm Thị Khánh Vân</t>
  </si>
  <si>
    <t>Phó phòng Kế hoạch - Dự án</t>
  </si>
  <si>
    <t>038</t>
  </si>
  <si>
    <t>Hoàng Xuân Phúc</t>
  </si>
  <si>
    <t>Kinh doanh</t>
  </si>
  <si>
    <t>Phát triển thị trường</t>
  </si>
  <si>
    <t>Chuyên viên Kinh doanh</t>
  </si>
  <si>
    <t>061</t>
  </si>
  <si>
    <t>Lý Thị Thanh Hiếu</t>
  </si>
  <si>
    <t>039</t>
  </si>
  <si>
    <t>Mông Thị Hằng</t>
  </si>
  <si>
    <t>Nhân viên Kinh doanh</t>
  </si>
  <si>
    <t>056</t>
  </si>
  <si>
    <t>Vũ Văn Hoán</t>
  </si>
  <si>
    <t>Phó phòng Kinh doanh</t>
  </si>
  <si>
    <t xml:space="preserve">tự lái xe </t>
  </si>
  <si>
    <t>047</t>
  </si>
  <si>
    <t>Nguyễn Thị Thu Hiền</t>
  </si>
  <si>
    <t>Xuất nhập khẩu</t>
  </si>
  <si>
    <t>Nhân viên Thủ tục Xuất nhập khẩu</t>
  </si>
  <si>
    <t>Không tham gia</t>
  </si>
  <si>
    <t>Đặng Thị Minh Huyền</t>
  </si>
  <si>
    <t>Song Toàn</t>
  </si>
  <si>
    <t>062</t>
  </si>
  <si>
    <t>Hoàng Bằng Giang</t>
  </si>
  <si>
    <t>Nhân viên Xuất nhập khẩu</t>
  </si>
  <si>
    <t>022</t>
  </si>
  <si>
    <t>Hoàng Nhật Ánh</t>
  </si>
  <si>
    <t>Tài chính - Kế toán</t>
  </si>
  <si>
    <t>Kế toán</t>
  </si>
  <si>
    <t>Nhân viên Kế toán</t>
  </si>
  <si>
    <t>Không tham gia. Trực bãi Sơn Cảng</t>
  </si>
  <si>
    <t>075</t>
  </si>
  <si>
    <t>Nguyễn Ngọc Ánh</t>
  </si>
  <si>
    <t>Không tham gia. Chị Hương đã xác nhận</t>
  </si>
  <si>
    <t>Trần Quốc Toản</t>
  </si>
  <si>
    <t>Vận hành</t>
  </si>
  <si>
    <t>An ninh</t>
  </si>
  <si>
    <t>Nhân viên An ninh</t>
  </si>
  <si>
    <t>031</t>
  </si>
  <si>
    <t>Lương Duy Thái</t>
  </si>
  <si>
    <t>Trưởng ca An ninh</t>
  </si>
  <si>
    <t>076</t>
  </si>
  <si>
    <t>Nguyễn Hoài Nam</t>
  </si>
  <si>
    <t>Điều phối</t>
  </si>
  <si>
    <t>Công nhân bốc xếp</t>
  </si>
  <si>
    <t>081</t>
  </si>
  <si>
    <t>Tăng Văn Tuấn</t>
  </si>
  <si>
    <t>092</t>
  </si>
  <si>
    <t>Hoàng Hoài Phong</t>
  </si>
  <si>
    <t>094</t>
  </si>
  <si>
    <t>Luân Văn Mạnh</t>
  </si>
  <si>
    <t>095</t>
  </si>
  <si>
    <t>Nguyễn Văn Bắc</t>
  </si>
  <si>
    <t>Lục Văn Quảng</t>
  </si>
  <si>
    <t>Đàm Thị Hân</t>
  </si>
  <si>
    <t>Đàm Thị Vụ</t>
  </si>
  <si>
    <t>Đàm Thị Liệng</t>
  </si>
  <si>
    <t>Chu Thị Hồng</t>
  </si>
  <si>
    <t>034</t>
  </si>
  <si>
    <t>Hoàng Văn Võ</t>
  </si>
  <si>
    <t>Nhân viên Điều phối</t>
  </si>
  <si>
    <t>054</t>
  </si>
  <si>
    <t>Nguyễn Cao Cường</t>
  </si>
  <si>
    <t>030</t>
  </si>
  <si>
    <t>Lương Văn Thành</t>
  </si>
  <si>
    <t>Nhân viên nghiệp vụ cổng cảng và kho bãi</t>
  </si>
  <si>
    <t>006</t>
  </si>
  <si>
    <t>Trịnh Công Nguyên</t>
  </si>
  <si>
    <t>Trưởng bộ phận nghiệp vụ cổng cảng và kho bãi</t>
  </si>
  <si>
    <t>046</t>
  </si>
  <si>
    <t>Hoàng Minh Hải</t>
  </si>
  <si>
    <t>Trưởng ca Điều phối</t>
  </si>
  <si>
    <t>Nông Quốc Việt</t>
  </si>
  <si>
    <t>Nhân viên Công nghệ thông tin</t>
  </si>
  <si>
    <t>007</t>
  </si>
  <si>
    <t>Nguyễn Xuân Thành</t>
  </si>
  <si>
    <t>Trưởng bộ phận Công nghệ thông tin</t>
  </si>
  <si>
    <t>070</t>
  </si>
  <si>
    <t>Nguyễn Thành Trung</t>
  </si>
  <si>
    <t>Quyền Phó phòng Vận hành</t>
  </si>
  <si>
    <t>Trực Cao Bằng</t>
  </si>
  <si>
    <t>050</t>
  </si>
  <si>
    <t>Trần Trung Kiên</t>
  </si>
  <si>
    <t>Trưởng phòng Vận hành</t>
  </si>
  <si>
    <t>Về Quảng Ninh trước</t>
  </si>
  <si>
    <t>051</t>
  </si>
  <si>
    <t>Hoàng Văn Kiên</t>
  </si>
  <si>
    <t>Vận hành thiết bị</t>
  </si>
  <si>
    <t>Nhân viên vận hành thiết bị</t>
  </si>
  <si>
    <t>Nông Hồng Hưng</t>
  </si>
  <si>
    <t>Lâm Hữu Huy</t>
  </si>
  <si>
    <t>003</t>
  </si>
  <si>
    <t>Trần Văn Lợi</t>
  </si>
  <si>
    <t>Vận tải</t>
  </si>
  <si>
    <t>Trưởng phòng Vận tải</t>
  </si>
  <si>
    <t>Tự đi xe riêng</t>
  </si>
  <si>
    <t>Đàm Văn Cương</t>
  </si>
  <si>
    <t>Chuyên viên điều phối vận tải</t>
  </si>
  <si>
    <t>004</t>
  </si>
  <si>
    <t>Nguyễn Hồng Nhung</t>
  </si>
  <si>
    <t>Trợ lý Ban Tổng Giám đốc</t>
  </si>
  <si>
    <t>002</t>
  </si>
  <si>
    <t>Trần Thị Thủy</t>
  </si>
  <si>
    <t>001</t>
  </si>
  <si>
    <t>Lương Khắc Định</t>
  </si>
  <si>
    <t>Tổng Giám đốc</t>
  </si>
  <si>
    <t>028</t>
  </si>
  <si>
    <t>Ngô Thị Nga</t>
  </si>
  <si>
    <t>067</t>
  </si>
  <si>
    <t>Vũ Mạnh Tuấn</t>
  </si>
  <si>
    <t>035</t>
  </si>
  <si>
    <t>Phạm Hồng Quyên</t>
  </si>
  <si>
    <t>Chuyên viên Hành chính - Nhân sự</t>
  </si>
  <si>
    <t>Hoàng Hiếu Ngân</t>
  </si>
  <si>
    <t>Nhân sự</t>
  </si>
  <si>
    <t>Chuyên viên C&amp;B</t>
  </si>
  <si>
    <t>096</t>
  </si>
  <si>
    <t>Ngô Ngọc Trà</t>
  </si>
  <si>
    <t>Pháp chế</t>
  </si>
  <si>
    <t>Chuyên viên pháp chế</t>
  </si>
  <si>
    <t>015</t>
  </si>
  <si>
    <t>Nguyễn Huyền Trang</t>
  </si>
  <si>
    <t>Trưởng phòng Hành chính - Nhân sự</t>
  </si>
  <si>
    <t>Trần Thị Minh Tâm</t>
  </si>
  <si>
    <t>Dịch vụ khách hàng</t>
  </si>
  <si>
    <t>Chuyên viên Dịch vụ khách hàng</t>
  </si>
  <si>
    <t>Phùng Ngọc Ánh</t>
  </si>
  <si>
    <t>Marketing</t>
  </si>
  <si>
    <t>Chuyên viên Marketing</t>
  </si>
  <si>
    <t>Hoàng Minh Quyền</t>
  </si>
  <si>
    <t>Chuyên viên Thiết kế</t>
  </si>
  <si>
    <t>009</t>
  </si>
  <si>
    <t>Triệu Quang Khoa</t>
  </si>
  <si>
    <t>Nguyễn Thị Hằng</t>
  </si>
  <si>
    <t>Nhân viên Kế toán doanh thu</t>
  </si>
  <si>
    <t>May Kind</t>
  </si>
  <si>
    <t>008</t>
  </si>
  <si>
    <t>Trần Thị Thuận</t>
  </si>
  <si>
    <t>Nhân viên Kế toán Thanh toán</t>
  </si>
  <si>
    <t>Nguyễn Thị Ngọc Ánh</t>
  </si>
  <si>
    <t>Nhân viên Kế toán thuế</t>
  </si>
  <si>
    <t>010</t>
  </si>
  <si>
    <t>Nguyễn Thị Hương</t>
  </si>
  <si>
    <t>Trưởng phòng Tài chính - Kế toán</t>
  </si>
  <si>
    <t>011</t>
  </si>
  <si>
    <t>Tống Thị Hoàn</t>
  </si>
  <si>
    <t>Thẩm định - Mua sắm</t>
  </si>
  <si>
    <t>Mua hàng Vận hành</t>
  </si>
  <si>
    <t>Trưởng bộ phận Thẩm định - Mua sắm vận hành</t>
  </si>
  <si>
    <t>059</t>
  </si>
  <si>
    <t>Lê Trần Đức</t>
  </si>
  <si>
    <t>Thẩm định Dự án</t>
  </si>
  <si>
    <t>Phó phòng Thẩm định Dự án</t>
  </si>
  <si>
    <t>Trần Ánh Ngọc</t>
  </si>
  <si>
    <t>Chuyên viên Thẩm định - Mua sắm</t>
  </si>
  <si>
    <t>Ngô Thị Thảo Vân</t>
  </si>
  <si>
    <t>GreenTech</t>
  </si>
  <si>
    <t>Khách</t>
  </si>
  <si>
    <t>Trần Quốc Huy</t>
  </si>
  <si>
    <t>Nguyễn Thị Quỳnh Như</t>
  </si>
  <si>
    <t>Nông Sản Việt</t>
  </si>
  <si>
    <t>Võ Thị Thu Huyền</t>
  </si>
  <si>
    <t>Bắc Ninh</t>
  </si>
  <si>
    <t>Nguyễn Hoàng Lê</t>
  </si>
  <si>
    <t>Chị Mai</t>
  </si>
  <si>
    <t>CTV</t>
  </si>
  <si>
    <t>Check sếp Thuỷ</t>
  </si>
  <si>
    <t>Chị Huệ</t>
  </si>
  <si>
    <t>Phạm Tiến Dũng</t>
  </si>
  <si>
    <t>Dũng Phát</t>
  </si>
  <si>
    <t>Ngô Văn Hoàn</t>
  </si>
  <si>
    <t>Mr. Nguyễn Văn Thắng</t>
  </si>
  <si>
    <t>HĐQT</t>
  </si>
  <si>
    <t>check</t>
  </si>
  <si>
    <t>Ms. Bùi Thị Huyền Trang</t>
  </si>
  <si>
    <t>Phu nhân HĐQT</t>
  </si>
  <si>
    <t>Mr. Mai Đức Trung</t>
  </si>
  <si>
    <t>HN</t>
  </si>
  <si>
    <t>Mr. Vũ Mạnh Sơn</t>
  </si>
  <si>
    <t>Đinh Thị Thu Hà</t>
  </si>
  <si>
    <t>NV cũ</t>
  </si>
  <si>
    <t>Vũ Thị Việt Phương</t>
  </si>
  <si>
    <t>Khác</t>
  </si>
  <si>
    <t>Công tác Tây Nguyên</t>
  </si>
  <si>
    <t>020</t>
  </si>
  <si>
    <t>Nông Ngọc Chương</t>
  </si>
  <si>
    <t>-</t>
  </si>
  <si>
    <t>Trực cổng Phú Anh, Sơn Cảng, Song Toàn</t>
  </si>
  <si>
    <t>023</t>
  </si>
  <si>
    <t>Hoàng Quốc Tế</t>
  </si>
  <si>
    <t>Đang nghỉ không lương</t>
  </si>
  <si>
    <t>026</t>
  </si>
  <si>
    <t>Nguyễn Đức Anh</t>
  </si>
  <si>
    <t>044</t>
  </si>
  <si>
    <t>Chu Văn Vương</t>
  </si>
  <si>
    <t>063</t>
  </si>
  <si>
    <t>Đàm Văn Thế</t>
  </si>
  <si>
    <t>064</t>
  </si>
  <si>
    <t>Triệu Đại Dương</t>
  </si>
  <si>
    <t>091</t>
  </si>
  <si>
    <t>Phùng Văn Trần</t>
  </si>
  <si>
    <t>Đinh Văn Thọ</t>
  </si>
  <si>
    <t>Nông Quang Khải</t>
  </si>
  <si>
    <t>Triệu Phi Hùng</t>
  </si>
  <si>
    <t>085</t>
  </si>
  <si>
    <t>Nguyễn Bá Hướng</t>
  </si>
  <si>
    <t>Say xe không đi được</t>
  </si>
  <si>
    <t>088</t>
  </si>
  <si>
    <t>Ma Văn Quyết</t>
  </si>
  <si>
    <t>Nông Văn Dương</t>
  </si>
  <si>
    <t>Lí do sức khoẻ</t>
  </si>
  <si>
    <t>Lương Quốc Bảo</t>
  </si>
  <si>
    <t>019</t>
  </si>
  <si>
    <t>Hà Đức Thông</t>
  </si>
  <si>
    <t>Làm hàng cotn lạnh/ gate in-out</t>
  </si>
  <si>
    <t>021</t>
  </si>
  <si>
    <t>Linh Minh Trọng</t>
  </si>
  <si>
    <t>024</t>
  </si>
  <si>
    <t>Trần Văn Hải</t>
  </si>
  <si>
    <t>025</t>
  </si>
  <si>
    <t>Bùi Hải Long</t>
  </si>
  <si>
    <t>Làm việc</t>
  </si>
  <si>
    <t>Phan Ngọc Anh</t>
  </si>
  <si>
    <t>Trực đình/nhà cẩu</t>
  </si>
  <si>
    <t>018</t>
  </si>
  <si>
    <t>Lý Văn Khanh</t>
  </si>
  <si>
    <t>Đi công tác ĐakLak chưa về</t>
  </si>
  <si>
    <t>014</t>
  </si>
  <si>
    <t>Nguyễn Đức Quyết</t>
  </si>
  <si>
    <t>Nhân viên Thẩm định - Mua sắm</t>
  </si>
  <si>
    <t>065</t>
  </si>
  <si>
    <t>Lục Thị Tuyết Nhi</t>
  </si>
  <si>
    <t>Thư ký phòng vận hành</t>
  </si>
  <si>
    <t>036</t>
  </si>
  <si>
    <t>Hoàng Văn Sinh</t>
  </si>
  <si>
    <t>Kỹ thuật</t>
  </si>
  <si>
    <t>Nhân viên Kỹ thuật</t>
  </si>
  <si>
    <t>045</t>
  </si>
  <si>
    <t>Hoàng Cao Hiệp</t>
  </si>
  <si>
    <t>Sữa chữa điện, nước</t>
  </si>
  <si>
    <t>084</t>
  </si>
  <si>
    <t>Nông Trung Lực</t>
  </si>
  <si>
    <t>099</t>
  </si>
  <si>
    <t>Nông Văn Hùng</t>
  </si>
  <si>
    <t>Linh Văn Hiệu</t>
  </si>
  <si>
    <t>Làm hàng</t>
  </si>
  <si>
    <t>Bế Ích Thiệp</t>
  </si>
  <si>
    <t>Chu Văn Kinh</t>
  </si>
  <si>
    <t>Tổng cộng</t>
  </si>
  <si>
    <t>MENU CÁC BỮA</t>
  </si>
  <si>
    <t>Trưa 5/10</t>
  </si>
  <si>
    <t>Tối 5/10 Gala</t>
  </si>
  <si>
    <t>Trưa 6/10</t>
  </si>
  <si>
    <t>Nhà hàng Thiên Anh</t>
  </si>
  <si>
    <t>Nhà hàng Thiên Tân</t>
  </si>
  <si>
    <t>Dự kiến 220k cả VAT</t>
  </si>
  <si>
    <t>380k cả VAT</t>
  </si>
  <si>
    <t>Nộm bò hoa chuối</t>
  </si>
  <si>
    <t>Súp hải sản - 1 bát</t>
  </si>
  <si>
    <t>Salad Thiên Tân</t>
  </si>
  <si>
    <t>Mực nấu chua</t>
  </si>
  <si>
    <t>Nộm xoài hải sản - 1 đĩa</t>
  </si>
  <si>
    <t>Ngao hoa nấu chua/ nấu Thái</t>
  </si>
  <si>
    <t>Tôm hấp sả</t>
  </si>
  <si>
    <t>Tu hài bọc bạc hấp – 1 con/k</t>
  </si>
  <si>
    <t>Móng tay xào chua ngọt</t>
  </si>
  <si>
    <t>Cá chiên xù</t>
  </si>
  <si>
    <t>Mực nướng lá chuối – 0.8kg</t>
  </si>
  <si>
    <t>Thăn cá vược tẩm vừng chiên</t>
  </si>
  <si>
    <t>Mẹt bún + chả nem hải sản Thiên Anh</t>
  </si>
  <si>
    <t>Tôm chiên Hoàng Bào – 0.5kg</t>
  </si>
  <si>
    <t>Hàu nướng mỡ hành</t>
  </si>
  <si>
    <t>Mắm tép chưng thịt</t>
  </si>
  <si>
    <t>Cá song hấp đậu non kèm đồ cuốn – 1.3kg</t>
  </si>
  <si>
    <t>Miến om hải sản</t>
  </si>
  <si>
    <t>bỏ</t>
  </si>
  <si>
    <t>Mực hấp cần thơm</t>
  </si>
  <si>
    <t>Rau cải luộc chấm mắm trứng</t>
  </si>
  <si>
    <t>Chân giò hầm bát bảo + bánh mỳ</t>
  </si>
  <si>
    <t>Đậu hũ non chiên xù</t>
  </si>
  <si>
    <t>Canh bầu tôm</t>
  </si>
  <si>
    <t>Củ quả luộc chấm muối vừng</t>
  </si>
  <si>
    <t>Thịt ba chỉ rang cháy cạnh</t>
  </si>
  <si>
    <t>Cơm trắng</t>
  </si>
  <si>
    <t>Canh chua hải sản</t>
  </si>
  <si>
    <t>Rau muống xào tỏi</t>
  </si>
  <si>
    <t>Tráng miệng</t>
  </si>
  <si>
    <t>Cơm rang hải sản</t>
  </si>
  <si>
    <t>Canh chua đầu cá vược</t>
  </si>
  <si>
    <t>Cơm</t>
  </si>
  <si>
    <t>Mực khô nướng (mang ngoài vào)</t>
  </si>
  <si>
    <t>CHƯƠNG TRÌNH GALA DINNER</t>
  </si>
  <si>
    <t>Địa điểm: Nhà hàng Thiên Anh</t>
  </si>
  <si>
    <t>Nội dung</t>
  </si>
  <si>
    <t>Thực hiện</t>
  </si>
  <si>
    <t>Yêu cầu chuẩn bị</t>
  </si>
  <si>
    <t xml:space="preserve">Âm nhạc </t>
  </si>
  <si>
    <t>18:00–18:30</t>
  </si>
  <si>
    <t>Đón khách, check-in, chụp ảnh</t>
  </si>
  <si>
    <t>Lễ tân, Truyền thông</t>
  </si>
  <si>
    <t>Backdrop, hashtag, nhạc nền, sơ đồ bàn</t>
  </si>
  <si>
    <t>18:30–18:35</t>
  </si>
  <si>
    <t>Tiết mục văn nghệ mở màn</t>
  </si>
  <si>
    <t>Đội văn nghệ Hạ Long</t>
  </si>
  <si>
    <t>Nhạc, ánh sáng, sân khấu</t>
  </si>
  <si>
    <t>18:35–18:42</t>
  </si>
  <si>
    <t>Tuyên bố lý do, giới thiệu đại biểu</t>
  </si>
  <si>
    <t>MC</t>
  </si>
  <si>
    <t>Danh sách đại biểu</t>
  </si>
  <si>
    <t>18:42–18:47</t>
  </si>
  <si>
    <t>Trình chiếu video hành trình một năm</t>
  </si>
  <si>
    <t>Video dài 3–5 phút</t>
  </si>
  <si>
    <t>18:47–18:57</t>
  </si>
  <si>
    <t>Phát biểu của đại diện Ban Lãnh đạo</t>
  </si>
  <si>
    <t>Đại diện Ban Lãnh đạo</t>
  </si>
  <si>
    <t>Bài phát biểu, micro</t>
  </si>
  <si>
    <t>18:57–19:10</t>
  </si>
  <si>
    <t>Nghi thức kỷ niệm một năm ra mắt thương hiệu: Cắt bánh</t>
  </si>
  <si>
    <t>HĐQT, Ban Lãnh đạo</t>
  </si>
  <si>
    <t>Bánh sinh nhật + nến, rượu, ly, nhạc Happy birthday và các hiệu ứng liên quan</t>
  </si>
  <si>
    <t>19:22–19:27</t>
  </si>
  <si>
    <t>Nâng ly chúc mừng và khai tiệc</t>
  </si>
  <si>
    <t>Ban Lãnh đạo, khách mời</t>
  </si>
  <si>
    <t>Nhạc chúc mừng</t>
  </si>
  <si>
    <t>19:27–19:50</t>
  </si>
  <si>
    <t>Dùng tiệc</t>
  </si>
  <si>
    <t>Nhạc nền ăn tiệc</t>
  </si>
  <si>
    <t>19:50 - 19:55</t>
  </si>
  <si>
    <t>Văn nghệ mở màn phần 2</t>
  </si>
  <si>
    <t>Nhóm văn nghệ Cao Bằng</t>
  </si>
  <si>
    <t>19:55 - 20:05</t>
  </si>
  <si>
    <t>Chúc mừng sinh nhật nhân viên tháng 9 &amp; tháng 10</t>
  </si>
  <si>
    <t>TGĐ, Nhân viên có sinh nhật trong tháng</t>
  </si>
  <si>
    <t>Check Ms. Trang có đi ko để chúc mừng sinh nhật</t>
  </si>
  <si>
    <t>20:05 - 20:15</t>
  </si>
  <si>
    <t>Trò chơi cá nhân 1</t>
  </si>
  <si>
    <t>MC, nhân viên</t>
  </si>
  <si>
    <t>Quà tặng, đạo cụ</t>
  </si>
  <si>
    <t>20:15 - 20:25</t>
  </si>
  <si>
    <t>Bốc thăm may mắn - Giải May mắn</t>
  </si>
  <si>
    <t>MC, Ban Lãnh đạo</t>
  </si>
  <si>
    <t>Phiếu bốc thăm, quà tặng</t>
  </si>
  <si>
    <t>20:25 - 20: 35</t>
  </si>
  <si>
    <t>Trò chơi tập thể</t>
  </si>
  <si>
    <t>Nhạc tạo hình</t>
  </si>
  <si>
    <t>20:35 - 20: 40</t>
  </si>
  <si>
    <t>Văn nghệ</t>
  </si>
  <si>
    <t>20:40 - 20:55</t>
  </si>
  <si>
    <t>Bốc thăm may mắn – 10 Giải Ba, 03 Giải Nhì, 01 Giải Nhất</t>
  </si>
  <si>
    <t>MC, HĐQT</t>
  </si>
  <si>
    <t>Giải thưởng</t>
  </si>
  <si>
    <t>20:45–20:55</t>
  </si>
  <si>
    <t>Phát biểu cảm ơn, khép lại chương trình</t>
  </si>
  <si>
    <t>Đại diện Ban Tổ chức</t>
  </si>
  <si>
    <t>Micro, nhạc nền</t>
  </si>
  <si>
    <t>20:55 - 21:00</t>
  </si>
  <si>
    <t>Văn nghệ sôi động</t>
  </si>
  <si>
    <t>Hạ Long lead</t>
  </si>
  <si>
    <t>Kết thúc</t>
  </si>
  <si>
    <t>Toàn thể khách mời</t>
  </si>
  <si>
    <t>DỰ TRÙ KINH PHÍ</t>
  </si>
  <si>
    <t>Ngân sách</t>
  </si>
  <si>
    <t>Chi tiết</t>
  </si>
  <si>
    <t>Đơn vị tính</t>
  </si>
  <si>
    <t>Số lượng</t>
  </si>
  <si>
    <t>Đơn giá</t>
  </si>
  <si>
    <t>Thành tiền</t>
  </si>
  <si>
    <t>Công đoàn</t>
  </si>
  <si>
    <t>A</t>
  </si>
  <si>
    <t>Tổ chức chương trình I + II + III</t>
  </si>
  <si>
    <t>I</t>
  </si>
  <si>
    <t>Phòng nghỉ và di chuyển</t>
  </si>
  <si>
    <t>Thuê xe vận chuyển 34 ghế</t>
  </si>
  <si>
    <t>lần</t>
  </si>
  <si>
    <t>Tài xế xe tự túc ăn ngủ. Giá đã bao gồm VAT</t>
  </si>
  <si>
    <t>Banner treo xe</t>
  </si>
  <si>
    <t>cái</t>
  </si>
  <si>
    <t>50 * 150 cm</t>
  </si>
  <si>
    <t>Khách sạn kèm ăn sáng</t>
  </si>
  <si>
    <t>Khách sạn New Stars</t>
  </si>
  <si>
    <t>To do: Update lại chi phí</t>
  </si>
  <si>
    <t>Ăn sáng ngày 1 cho nhân viên Cao Bằng (trên đường đi)</t>
  </si>
  <si>
    <t>nhân viên</t>
  </si>
  <si>
    <t>Ăn tối ngày 2 cho nhân viên Cao Bằng (trên đường đi)</t>
  </si>
  <si>
    <t>Đồ ăn nhẹ cho đoàn theo xe</t>
  </si>
  <si>
    <t>Nước uống theo xe</t>
  </si>
  <si>
    <t>thùng</t>
  </si>
  <si>
    <t>Nước 350ml</t>
  </si>
  <si>
    <t>Ăn trưa ngày 1 cho toàn đoàn</t>
  </si>
  <si>
    <t>suất</t>
  </si>
  <si>
    <t>Thiên Anh (Menu 220k, 20k đồ uống)</t>
  </si>
  <si>
    <t>II</t>
  </si>
  <si>
    <t>Chương trình Gala</t>
  </si>
  <si>
    <t>Ăn tiệc gala</t>
  </si>
  <si>
    <t>Màn led chạy cửa đón Độ phân giải 1600 x 160 px
Kích thước : 0,82 x 6m
Kích thước khung backdrop chụp ảnh để sảnh : cao 3m x 3,5m</t>
  </si>
  <si>
    <t>Âm thanh ánh sáng</t>
  </si>
  <si>
    <t>Mực khô</t>
  </si>
  <si>
    <t>kg</t>
  </si>
  <si>
    <t>Đồ uống gala</t>
  </si>
  <si>
    <t>Rượu trắng</t>
  </si>
  <si>
    <t>lit</t>
  </si>
  <si>
    <t>1 can: đã có sẵn</t>
  </si>
  <si>
    <t>Chi phí mang đồ uống vào</t>
  </si>
  <si>
    <t>Bánh sinh nhật</t>
  </si>
  <si>
    <t>Bốc thăm may mắn</t>
  </si>
  <si>
    <t>Thuê trang phục Cao Bằng</t>
  </si>
  <si>
    <t>Tổng HL + CB = 6tr</t>
  </si>
  <si>
    <t>Hỗ trợ make up Cao Bằng</t>
  </si>
  <si>
    <t>4 pax</t>
  </si>
  <si>
    <t>Thuê trang phục Quảng Ninh</t>
  </si>
  <si>
    <t>Hỗ trợ make up Quảng Ninh</t>
  </si>
  <si>
    <t>5 pax</t>
  </si>
  <si>
    <t>Thuê trang phục MC</t>
  </si>
  <si>
    <t>người</t>
  </si>
  <si>
    <t>Trang trí backdrop, hashtag chụp ảnh</t>
  </si>
  <si>
    <t>Quay film, chụp ảnh</t>
  </si>
  <si>
    <t>III</t>
  </si>
  <si>
    <t>Các chương trình thăm quan</t>
  </si>
  <si>
    <t>Vé xe bus 2 tầng</t>
  </si>
  <si>
    <t>vé</t>
  </si>
  <si>
    <t>Check Ánh + Tâm tourguide</t>
  </si>
  <si>
    <t>Thuê tàu Danova</t>
  </si>
  <si>
    <t>Vé thắng cảnh</t>
  </si>
  <si>
    <t>Ăn trưa ngày 2</t>
  </si>
  <si>
    <t>B</t>
  </si>
  <si>
    <t>Quà tặng nhân viên &amp; chi phí khác</t>
  </si>
  <si>
    <t>Quà tặng nhân viên</t>
  </si>
  <si>
    <t>Chi trả vào lương của nhân viên. Số lượng chính xác được cập nhật tại thời điểm chi trả</t>
  </si>
  <si>
    <t>Huy hiệu cài áo tặng cán bộ quản lý/ HĐQT</t>
  </si>
  <si>
    <t>50 cái/ lô</t>
  </si>
  <si>
    <t>Thắp hương tại vp (thứ 7 ngày 3/10/2026)</t>
  </si>
  <si>
    <t>Tổng cộng A + B</t>
  </si>
  <si>
    <t>Tính chi phí các phương án thuê tàu THAM KHẢO</t>
  </si>
  <si>
    <t>Hạng mục</t>
  </si>
  <si>
    <t>Tàu Aurora - Tuyến 2, ăn trưa trên tàu</t>
  </si>
  <si>
    <t>Tuyến 2</t>
  </si>
  <si>
    <t>Vé thắng cảnh + tiền ăn trưa</t>
  </si>
  <si>
    <t>khách</t>
  </si>
  <si>
    <t>Check Dũng Asian travel</t>
  </si>
  <si>
    <t>Chỗ trống</t>
  </si>
  <si>
    <t>Hướng dẫn viên theo tàu</t>
  </si>
  <si>
    <t>Foc</t>
  </si>
  <si>
    <t>Tàu Royal hoặc Danova (launched 2021) - Tuyến 2, ăn trưa trên tàu</t>
  </si>
  <si>
    <t>Khách đi tàu</t>
  </si>
  <si>
    <t>FOC</t>
  </si>
  <si>
    <t>Tàu Royal hoặc Danova (launched 2021) - Tuyến 1, ăn trưa trên nhà hàng</t>
  </si>
  <si>
    <t>Thuê tàu</t>
  </si>
  <si>
    <t>Ăn trưa trên nhà hàng</t>
  </si>
  <si>
    <t>suất ăn 220k + đồ uống</t>
  </si>
  <si>
    <t>Rồng Vàng palace</t>
  </si>
  <si>
    <t>Chi phí ăn uống các bữa</t>
  </si>
  <si>
    <t>Địa điểm</t>
  </si>
  <si>
    <t>Trưa ngày 5/10</t>
  </si>
  <si>
    <t>Suất ăn + đồ uống</t>
  </si>
  <si>
    <t>Gala tối ngày 6/10</t>
  </si>
  <si>
    <t>Gala nhà hàng Thăng Long</t>
  </si>
  <si>
    <t>DANH SÁCH SẮP XẾP PHÒNG KHÁCH SẠN - Update ngày 02/10/2026 (10h00)</t>
  </si>
  <si>
    <t>Loại phòng</t>
  </si>
  <si>
    <t>Số lượng phòng</t>
  </si>
  <si>
    <t>Ký hiệu</t>
  </si>
  <si>
    <t>Số người</t>
  </si>
  <si>
    <t>Giường</t>
  </si>
  <si>
    <t>Cách đặt mã phòng</t>
  </si>
  <si>
    <t>Check số người</t>
  </si>
  <si>
    <t>Khách sạn NEWSTAR HALONG HOTEL</t>
  </si>
  <si>
    <t>Phòng đôi loại 1 giường</t>
  </si>
  <si>
    <t>DBL</t>
  </si>
  <si>
    <t>1 giường 1m8</t>
  </si>
  <si>
    <t>DBL 1, DBL 2, ....</t>
  </si>
  <si>
    <t>Ưu tiên phòng DBL cho nữ</t>
  </si>
  <si>
    <t>Phòng đôi loại 2 giường</t>
  </si>
  <si>
    <t>TWN</t>
  </si>
  <si>
    <t>2 giường 1m2</t>
  </si>
  <si>
    <t>TWN 1, TWN 2 .... TWN 10</t>
  </si>
  <si>
    <t>Phòng ba</t>
  </si>
  <si>
    <t>TRP</t>
  </si>
  <si>
    <t>3 giường 1m2</t>
  </si>
  <si>
    <t>TRP 1 ... TRP 6</t>
  </si>
  <si>
    <t>Ưu tiên đặt phòng ngủ 2, lẻ người mới đặt phòng ngủ 3</t>
  </si>
  <si>
    <t>Cách sắp xếp: Những người cùng phòng thì cắt lên gần nhau, đặt cùng mã phòng. KHÔNG MERGE Ô</t>
  </si>
  <si>
    <t>Mã phòng</t>
  </si>
  <si>
    <t>Check đặt phòng ks</t>
  </si>
  <si>
    <t>DBL1</t>
  </si>
  <si>
    <t>DBL2</t>
  </si>
  <si>
    <t>DBL3</t>
  </si>
  <si>
    <t>DBL4</t>
  </si>
  <si>
    <t>DBL5</t>
  </si>
  <si>
    <t>TRP1</t>
  </si>
  <si>
    <t>TRP2</t>
  </si>
  <si>
    <t>TRP3</t>
  </si>
  <si>
    <t>TWN1</t>
  </si>
  <si>
    <t>TWN2</t>
  </si>
  <si>
    <t>TWN3</t>
  </si>
  <si>
    <t>TWN4</t>
  </si>
  <si>
    <t>TWN5</t>
  </si>
  <si>
    <t>TRP4</t>
  </si>
  <si>
    <t>TỔNG SỐ NGƯỜI</t>
  </si>
  <si>
    <t>COUNTA of Công ty xuất hoá đơn</t>
  </si>
  <si>
    <t>Grand Total</t>
  </si>
  <si>
    <t>CHECKLIST CÔNG VIỆC TỔ CHỨC KỶ NIỆM 1 NĂM THƯƠNG HIỆU CÔNG TY - NGÀY 05-06/10/2026</t>
  </si>
  <si>
    <t>Nội dung công việc</t>
  </si>
  <si>
    <t>Thời gian hoàn thành</t>
  </si>
  <si>
    <t>Phụ trách</t>
  </si>
  <si>
    <t>Phối hợp</t>
  </si>
  <si>
    <t>HR team</t>
  </si>
  <si>
    <t>Công việc chính cần lưu ý</t>
  </si>
  <si>
    <t>Cập nhật Tiến độ</t>
  </si>
  <si>
    <t>I. CÔNG TÁC CHUẨN BỊ VÀ TRUYỀN THÔNG</t>
  </si>
  <si>
    <t>Lên ý tưởng chương trình, sơ bộ agenda trình BOD phê duyệt</t>
  </si>
  <si>
    <t>HR</t>
  </si>
  <si>
    <t>Trang/Quyên</t>
  </si>
  <si>
    <t>Truyền thông tới các đơn vị về chương trình và các nội dung mỗi đơn vị cần chuẩn bị</t>
  </si>
  <si>
    <t>Trang</t>
  </si>
  <si>
    <t>- Trang phục đi du lịch:Áo đồng phục công ty</t>
  </si>
  <si>
    <t>- Ánh đưa tin truyền thông trc sự kiện ngày 1/10, 4/10</t>
  </si>
  <si>
    <t>- Thiết kế thư mời, backdrop , photobooth, biển chỉ dẫn, Hastag cầm tay, banner treo xe CB - QN
- Thiết kế Led CMSN cty, CBNV, Led Game, Led văn nghệ, bốc thăm trúng thưởng</t>
  </si>
  <si>
    <t>MKT</t>
  </si>
  <si>
    <t>HR Quyên</t>
  </si>
  <si>
    <t>Ánh/Quyền</t>
  </si>
  <si>
    <t xml:space="preserve">- Dung: Lưu ý treo banner ở xe cùng Công đoàn
- Gửi giấy mời cho CBNV &amp; khách mời : 22/9 </t>
  </si>
  <si>
    <t>- Thư mời: 19/9 gửi lại version 1
- KHảo sát lại photobooth: 19/9
- Dỡ băng rôn mang theo hôm 6/9 để chụp ảnh</t>
  </si>
  <si>
    <t>Standee đón khách tại sảnh tầng trệt, cạnh LED</t>
  </si>
  <si>
    <t>Làm Video trình chiếu đầu chương trình</t>
  </si>
  <si>
    <t>Ánh/Quyên</t>
  </si>
  <si>
    <t>- Lấy Hình ảnh/Video từ các BP
 - Tổng hợp và làm Video trình chiếu 10p</t>
  </si>
  <si>
    <t>- 21/9: Ánh gửi lại lịch bản V1</t>
  </si>
  <si>
    <t>Phiếu bốc thăm CBNV, mượn bể cá/ thùng thuỷ tinh đựng phiếu</t>
  </si>
  <si>
    <t>Trà/Ngân</t>
  </si>
  <si>
    <t>- Gửi giấy mời cho CBNV &amp; khách mời : 22/9 
 - Ngân hỗ trợ phiếu bốc thăm trúng thưởng. Chuẩn bị hộp phiếu bốc thăm (Bình cá thuỷ tinh)</t>
  </si>
  <si>
    <t>Chốt số lượng khách mời</t>
  </si>
  <si>
    <t>TGĐ</t>
  </si>
  <si>
    <t>check với TGĐ gửi thư mời cho HĐQT/Greentech/ (Mởi Mrs. Hà, KT)\</t>
  </si>
  <si>
    <t>Chuẩn bị bát phát biểu của CTHĐQT/TGĐ</t>
  </si>
  <si>
    <t>Viết MC script, Chuẩn bị nhạc nền cho các hạng mục: Đón khách, CEO lên phát biểu, Game, Bốc thăm trúng thưởng</t>
  </si>
  <si>
    <t>MKT, IT</t>
  </si>
  <si>
    <t>Quyên/Ánh/IT</t>
  </si>
  <si>
    <t>- CHeck nam MC hỗ trợ Ánh phần lead Game: Đức</t>
  </si>
  <si>
    <t>Chuẩn bị lì xì TLQM để trao quà sinh nhật cho nhân viên tháng 9 tháng 10</t>
  </si>
  <si>
    <t>II. VĂN NGHỆ VÀ TRÒ CHƠI</t>
  </si>
  <si>
    <t>Tiết mục văn nghệ</t>
  </si>
  <si>
    <t>Quyên/Ánh/Thành</t>
  </si>
  <si>
    <t>Chốt các tiết mục biểu diễn vào 16/9
 - VPHL: Lead team: Ms. Ánh
 - VPCB: lead team: Ms. Dung
 - Các đội tự chuẩn bị lead cho tiết mục văn nghệ &amp; gửi IT</t>
  </si>
  <si>
    <t>- CHiều 19/9: Khảo sát sân khấu Thiên Anh</t>
  </si>
  <si>
    <t>Lead game</t>
  </si>
  <si>
    <t>Ánh</t>
  </si>
  <si>
    <t>Thiết kế game, chuẩn bị đạo cụ, phần thưởng Game, kịch bản game</t>
  </si>
  <si>
    <t>- Tâm gửi v1 của game</t>
  </si>
  <si>
    <t>Thiết kế nội dung game</t>
  </si>
  <si>
    <t>IT, HR</t>
  </si>
  <si>
    <t>Tâm/IT/Trà</t>
  </si>
  <si>
    <t>IT làm video các giải thưởng bốc thăm, ghép nhạc quay xổ số</t>
  </si>
  <si>
    <t>Quản trò game</t>
  </si>
  <si>
    <t>Ánh/Huy/Trà</t>
  </si>
  <si>
    <t>Bố trí Lễ tân đón khách và bưng hoa/quà, trao thưởng</t>
  </si>
  <si>
    <t>XNK</t>
  </si>
  <si>
    <t>Dung/Bằng Giang/Huy- Hằng KT</t>
  </si>
  <si>
    <t>Dung lead team, Trà chuẩn bị 2 bàn vuông, có khăn phủ đỏ (Hỏi khách sạn)</t>
  </si>
  <si>
    <t>Mua + bọc thùng quà 2 đội chơi</t>
  </si>
  <si>
    <t>In chữ "Giải Nhất/ Nhì/ Ba/ May mắn" lên giấy A4 và dán vào quà</t>
  </si>
  <si>
    <t>Team HLong</t>
  </si>
  <si>
    <t>III. HẬU CẦN</t>
  </si>
  <si>
    <t>Chọn địa điểm tổ chức và đặt tiệc, đặt xe, book tour, đặt vé bảo tàng</t>
  </si>
  <si>
    <t>7/9- 18/9</t>
  </si>
  <si>
    <t>MH, KT</t>
  </si>
  <si>
    <t>Quyên/Dung/Hoàn/C. Hương</t>
  </si>
  <si>
    <t>- Bên MH: Làm hợp đồng &amp; chốt giá Dịch vụ
 - Quyên: Phối hợp book tour thăm vịnh, khách sạn, vé bảo tàng, gửi danh sách phòng &amp; gợi ý điểm check in cho CBNV khám phá vào chiều mùng 4/10
 - Dung: Phối hợp MH đặt xe đưa đón đoàn CB - HL</t>
  </si>
  <si>
    <t>- Final thứ 2: Tàu, xe, khách sạn, nhà hàng Thiên Anh, nhà hàng ăn trưa tại khách sạn/NH Việt Nam. VP HL có ăn trưa cùng ngày 5/10
- Xin ý kiến về ctrinfh thăm bảo tàng buổi chiều có tiếp tục hay cắt để nghỉ ngơi: Trang chốt vào thứ 2</t>
  </si>
  <si>
    <t>Mời HĐQT và check tham gia các chương trình</t>
  </si>
  <si>
    <t>Mời khách Greentech (Huyền, a Hoàn, a Lê), Dũng Phát (a Dũng), CTV (c Mai, c Huệ), NV cũ (Hà)</t>
  </si>
  <si>
    <t>Sắp xếp danh sách phòng nghỉ</t>
  </si>
  <si>
    <t>Dung, Hằng</t>
  </si>
  <si>
    <t>Lưu ý cập nhật nếu có người đổi phòng hoặc đổi danh sách tham gia</t>
  </si>
  <si>
    <t>Kiểm danh sách ăn, danh sách món và nghiệm thu sau bữa trưa 5 &amp; 6/10</t>
  </si>
  <si>
    <t>Chuẩn bị đồ uống/đồ ăn trên xe cho đoàn CB - HL
 Chuẩn bị đồ ăn sáng ngày 4/10 &amp; đặt ăn tối ngày 5/10</t>
  </si>
  <si>
    <t>Công đoàn</t>
  </si>
  <si>
    <t>Dung/Hằng/A Tùng</t>
  </si>
  <si>
    <t>- Ăn sáng 4/10: Mua bánh mỳ, giò, hoa quả, hạt hướng dương
 - Ăn tối: Liên hệ đặt ăn tối 5/10
-  In danh sách đoàn, điểm danh, nhắc đoàn mang CCCD để check in khách sạn, lên tàu, mang áo công ty
- Chuẩn bị thuốc say xe, túi bóng nôn đi đường, chuẩn bị y tế, thuốc cơ bản cho đoàn: Thuốc hạ sốt, giảm đau, urgo...</t>
  </si>
  <si>
    <t>Nhận bánh kem</t>
  </si>
  <si>
    <t>Ánh Ngọc</t>
  </si>
  <si>
    <t>Nhận và bàn giao cho nhà hàng</t>
  </si>
  <si>
    <t>Lên thực đơn buổi tiệc</t>
  </si>
  <si>
    <t>Sếp Thuỷ, Nhung, C. Thuận</t>
  </si>
  <si>
    <t>- In biển tên bàn VIP
 - In menu thực đơn</t>
  </si>
  <si>
    <t>Lên list đồ uống</t>
  </si>
  <si>
    <t>MH</t>
  </si>
  <si>
    <t>Quyên/Hoàn</t>
  </si>
  <si>
    <t>Kiểm tra còn rượu trắng hay ko
Check có tính tiền đồ uống mang vào hay ko: Quyên</t>
  </si>
  <si>
    <t>Tổng hợp danh sách CBCNV không tham gia</t>
  </si>
  <si>
    <t>Admin các BP</t>
  </si>
  <si>
    <t>Dung</t>
  </si>
  <si>
    <t>Setup khu vực bàn để quà tặng, bốc thăm trúng thưởng</t>
  </si>
  <si>
    <t>nhà hàng</t>
  </si>
  <si>
    <t>Bàn vuông phủ vải đỏ, hỏi mượn vải phủ bên sự kiện, Sáng 4/10
 check cty có bàn vuông hay ko</t>
  </si>
  <si>
    <t>Quyên check nhà hàng</t>
  </si>
  <si>
    <t>Setup bàn tiệc, kiểm soát đồ ăn theo thực đơn</t>
  </si>
  <si>
    <t>C Thuận/Chị Nga</t>
  </si>
  <si>
    <t>Setup bàn VIP (có biển tên)- C Hương mượn biển
  Vip từ khách san</t>
  </si>
  <si>
    <t>Setup âm thanh, ánh sáng, hiệu ứng</t>
  </si>
  <si>
    <t>IT</t>
  </si>
  <si>
    <t>Kỹ thuật bên Sự kiện</t>
  </si>
  <si>
    <t>Thành/Việt/Quyền</t>
  </si>
  <si>
    <t>check lại rọi đèn, check dc mượn mấy MIC</t>
  </si>
  <si>
    <t>In phiếu bốc thăm, hộp đựng phiếu</t>
  </si>
  <si>
    <t>Ngân, Ngọc, Trà</t>
  </si>
  <si>
    <t>Chuẩn bị lọ thuỷ tinh đựng phiếu BTTT . Đóng dấu vào phiếu bốc thăm - Ngân</t>
  </si>
  <si>
    <t>Lấy mực khô, nướng, đập, bọc báo, cho vào túi</t>
  </si>
  <si>
    <t>Chị Nga bếp, chị Hoàn + 3 thanh niên CB hỗ trợ</t>
  </si>
  <si>
    <t>Cao Bằng cho 3 thanh niên hỗ trợ</t>
  </si>
  <si>
    <t>Mượn bể cá thuỷ tinh đựng phiếu + Tag bàn VIP</t>
  </si>
  <si>
    <t>Trà</t>
  </si>
  <si>
    <t>Liên hệ chị Hương kế toán</t>
  </si>
  <si>
    <t>Mua quà tặng tương ứng với các giải thưởng (chi tiết trong dự trù chi phí)</t>
  </si>
  <si>
    <t>HR, IT, MH, KT</t>
  </si>
  <si>
    <t>Ánh/ Hoàn/Trà, Hằng</t>
  </si>
  <si>
    <t>- Ánh gửi ý tưởng các món quà truyền thông của MKT trước ngày 16/9 để lên order với MH
 - Quyên order các quà tặng với MH
 - Gói quà , Video quà tặng (Thành)</t>
  </si>
  <si>
    <t>- Check final quà tặng với sếp</t>
  </si>
  <si>
    <t>Khay phục vụ trao thưởng (phủ vải đỏ) =&gt; vàng</t>
  </si>
  <si>
    <t>Trà</t>
  </si>
  <si>
    <t>Nhà hàng cho mượn 2 khay vuông 2 khay tròn phủ vải vàng</t>
  </si>
  <si>
    <t>Rượu Champange (2 chai), pháo điện (2-3 quả) =&gt; BỎ</t>
  </si>
  <si>
    <t>Ngọc/Ngân</t>
  </si>
  <si>
    <t>Chuẩn bị ly: 10 cái - nhờ nhà hàng. Phân rõ người mở chai, bn người, cử lễ tân thu ly luôn 
 Rượu champange loại chai phụt 1 người đai diện cty, 1 khách mời, thêm 1 chai ngon để rót đoạn nâng lý khai tiệc (rót sẵn để vào khay, khi phụt xong sẽ bê ra).
 Pháo điện khói, ko mua</t>
  </si>
  <si>
    <t>Quà tặng game</t>
  </si>
  <si>
    <t>Ngọ̣c/Trà</t>
  </si>
  <si>
    <t>Phong bao lỳ xỳ - Chuẩn bị đút tiền sẵn luôn.</t>
  </si>
  <si>
    <t>Thuê thợ quay phim, chụp ảnh</t>
  </si>
  <si>
    <t>Ánh/Quyên/Ngọc</t>
  </si>
  <si>
    <t>Recap sau quay , bố trí 1 người cty quay bằng điện thoại, 
 bên sự kiện cho mượn Tripod</t>
  </si>
  <si>
    <t>- 21/9: Ánh phối hợp MH</t>
  </si>
  <si>
    <t>Vận chuyển ra sân khấu: Đồ uống, phần thưởng, quà tặng - Huy+ Đức</t>
  </si>
  <si>
    <t>4//10</t>
  </si>
  <si>
    <t>Nam VP HL</t>
  </si>
  <si>
    <t>Đức/Quyền/Huy/Trà</t>
  </si>
  <si>
    <t>Chiều ngày 4/10: Quyên confirm với nhà hàng thời gian mang đồ ra và lập list để bàn giao với nhà hàng</t>
  </si>
  <si>
    <t>- Quyên check nhà hàng trông đồ</t>
  </si>
  <si>
    <t>Quản lý hoa, quà tặng, quà bốc thăm may mắn…chuẩn bị để Lãnh đạo trao tại sân khấu:</t>
  </si>
  <si>
    <t>Ngân/Trà</t>
  </si>
  <si>
    <t>Quyên đặt hoa, bánh SN cho CBNV tháng 9, 10. 
 Q mua hoa, đặt bánh Sn, Dung/Quyên làm order tiền SN tháng 9, 10 cho CBNV</t>
  </si>
  <si>
    <t>Chỉ đạo nhà hàng ra đồ ăn, chăm sóc bàn VIP</t>
  </si>
  <si>
    <t>Chị Thuận</t>
  </si>
  <si>
    <t>Nhung</t>
  </si>
  <si>
    <t>C Nga</t>
  </si>
  <si>
    <t>Chú ý người phục vụ bàn VIP, yêu cầu 1- 2người =&gt; nhà hàng bố trí 1 nhân viên phụ vụ ban VIP</t>
  </si>
  <si>
    <t>Thu dọn, nghiệm thu đồ sau buổi tiệc</t>
  </si>
  <si>
    <t>KT + MKT+MH</t>
  </si>
  <si>
    <t>chị Thuận/ Hằng/Ánh/Ngọc/Ngân/Trà &gt;&gt; Quyên in charge</t>
  </si>
  <si>
    <t>Check sếp về việc phiếu thăm may mắn có cho tên VIP không</t>
  </si>
  <si>
    <t>Chị Trang</t>
  </si>
  <si>
    <t>Check ai trao quà may mắn giải nào: 12 Giải May mắn, 10 Giải Ba, 03 Giải Nhì, 01 Giải Nhất</t>
  </si>
  <si>
    <t>IV</t>
  </si>
  <si>
    <t>ĐÓN TIẾP</t>
  </si>
  <si>
    <t>Phụ trách đón tiếp ăn trưa tại nhà hàng Thăng Long</t>
  </si>
  <si>
    <t>Trang/C Hương/Khoa/ĐỨc</t>
  </si>
  <si>
    <t>Khách Vip: BGĐ
 Các TP: Đón tiếp NV</t>
  </si>
  <si>
    <t>Phụ trách đón tiếp tại NH Thiên Anh</t>
  </si>
  <si>
    <t>HR + BGĐ</t>
  </si>
  <si>
    <t>Trưởng các phòng ban</t>
  </si>
  <si>
    <t>Kiểm số người và danh sách lên tàu (để mua vé), xác nhận với hướng dẫn viên của tàu</t>
  </si>
  <si>
    <t>Anh Nguyên, anh Tùng, Trà,  Quyên</t>
  </si>
  <si>
    <t>Confirm số lượng cuối cùng với Quyên</t>
  </si>
  <si>
    <t>In danh sách đoàn Cao Bằng</t>
  </si>
  <si>
    <t>Đôn đốc nhân viên lên hang động/ xuống tàu theo lịch trình</t>
  </si>
  <si>
    <t>V</t>
  </si>
  <si>
    <t>Kiểm tra hiện trường sân khấu</t>
  </si>
  <si>
    <t>Kiểm tra việc lắp đặt sân khấu, ATAS, bàn ghế tại hiện trường. Phụ trách phần nhạc đối với các tiết mục VN .</t>
  </si>
  <si>
    <t>Thành/Việt/ Quyền</t>
  </si>
  <si>
    <t>Quyên Check nhà hàng có ng chỉnh led/âm thanh/ánh sáng ko =&gt; có 1 nhân viên kỹ thuật</t>
  </si>
  <si>
    <t>Tổng duyệt, khớp Sân khấu</t>
  </si>
  <si>
    <t>004/10</t>
  </si>
  <si>
    <t>All</t>
  </si>
  <si>
    <t>VP HL: Sáng ra kiểm tra sân khấu 
 Chiều đội văn nghệ khớp sân khấu lúc 15h ngày 4/10</t>
  </si>
  <si>
    <t>- Quyên check nhà hàng xin giờ khớp sân khấu 5/10</t>
  </si>
  <si>
    <t>KỊCH BẢN ON-AIR &amp; CHECKLIST ĐIỀU PHỐI GALA DINNER - KỶ NIỆM 1 NĂM THƯƠNG HIỆU</t>
  </si>
  <si>
    <t>Thời gian: 18:00 - 21:05 | Ngày: 06/10/2026 | Địa điểm: Trung tâm sự kiện Thăng Long</t>
  </si>
  <si>
    <t>TỔNG ĐIỀU PHỐI SÂN KHẤU</t>
  </si>
  <si>
    <t>MC CHƯƠNG TRÌNH</t>
  </si>
  <si>
    <t>KỸ THUẬT (ÂM THANH / LED)</t>
  </si>
  <si>
    <t>HẬU CẦN &amp; LỄ TÂN SÂN KHẤU</t>
  </si>
  <si>
    <t>TIẾN ĐỘ ON-AIR</t>
  </si>
  <si>
    <t>Ms. Quyên / Ms. Trang (HR)</t>
  </si>
  <si>
    <t>Quyên
Mr. Đức &amp; Ms. Ánh (Lead game)</t>
  </si>
  <si>
    <t>Mr. Thành, Mr. Việt, Mr. Quyền (IT)</t>
  </si>
  <si>
    <t>Ms. Dung, Ms. Trà, Ms. Ngân, Mr. Huy</t>
  </si>
  <si>
    <t>Phân cảnh / Nội dung kịch bản</t>
  </si>
  <si>
    <t>Kịch bản chi tiết &amp; Lời dẫn MC (Script)</t>
  </si>
  <si>
    <t>Nhân sự thực hiện &amp; Khách mời</t>
  </si>
  <si>
    <t>Kỹ thuật (Âm thanh - Ánh sáng - Màn hình LED)</t>
  </si>
  <si>
    <t>Hậu cần, Đạo cụ &amp; Lễ tân sân khấu</t>
  </si>
  <si>
    <t>Ghi chú điều phối &amp; Lưu ý khẩn cấp</t>
  </si>
  <si>
    <t>Từ 13:30</t>
  </si>
  <si>
    <t>Set up, vận chuyển đồ</t>
  </si>
  <si>
    <t>Vận chuyển:
- Hàng bốc thăm may mắn: Ms. Hoàn phụ trách kiểm kê
- Thanh niên hỗ trợ bê vác đồ: Huy + Vân Như kế toán
- Rượu: Ms. Hoàn phụ trách
- Mực khô: Chị Nga bếp nướng + 3 thanh niên hỗ trợ đập và xé mực</t>
  </si>
  <si>
    <t>Từ 15h00:
- Chạy thử LED
- Bật thử nhạc
- Thử mic
- Tập dượt văn nghệ từ 3h
- Kiểm tra công tắc điện khu hội trường
Thành PIC kỹ thuật</t>
  </si>
  <si>
    <t>- 2 bàn vuông phủ khăn đặt dưới sân khấu để toàn bộ quà
- 1 bục phát biểu
- 1 tháp bánh (để sẵn dưới sân khấu và sẽ bê lên trong chương trình)
- 2 khay phủ vải để bưng quà
- 1 bể cá thủy tinh đựng phiếu (Phiếu do Trà bảo quản trong phong bì niêm phong)
- Chị Thuận + chị Hoàn: Kiểm tra số lượng chỗ ngồi + đồ uống + mực khô + ly uống rượu + chai rượu + menu đặt bàn + tag bàn VIP (Quyên confirm số lượng vào sáng ngày 5/10)</t>
  </si>
  <si>
    <t>- 2 bàn vuông để quà
- 1 tháp bánh
- 2 quả pháo điện đã set up</t>
  </si>
  <si>
    <t>Đoàn Cao Bằng tập trung tại sảnh Khách sạn để di chuyển ra nhà hàng</t>
  </si>
  <si>
    <t>- Trưởng, phó đoàn kiểm kê quân số (Mr. Nguyên + Mr. Trung)
- Đoàn Hạ Long kiểm kê quân số (Ms. Trà)</t>
  </si>
  <si>
    <t>17:30 - 18:00</t>
  </si>
  <si>
    <t>Đón khách, check-in, chụp ảnh Photobooth</t>
  </si>
  <si>
    <t>Đón tiếp Ban Lãnh đạo, CBNV và khách mời; hướng dẫn chụp ảnh photobooth, hướng dẫn khách vào bàn tiệc theo sơ đồ.
Chụp ảnh tập thể ngay đầu chương trình</t>
  </si>
  <si>
    <t>Lễ tân (Ms. Dung lead, Bằng Giang, Huy, Hằng KT), Truyền thông (Ánh), Điều phối (Quyên)</t>
  </si>
  <si>
    <t>- Nhạc đón khách, gồm cả nhạc TLQM
- Màn LED chính hiển thị visual chào mừng Gala 1 năm. 
- LED cửa đón sảnh 1600x160px chạy chữ chào mừng.</t>
  </si>
  <si>
    <t>Sắp xếp backdrop, photobooth, hashtag cầm tay, biển tên bàn VIP. Bình cá thủy tinh đựng phiếu bốc thăm.</t>
  </si>
  <si>
    <t>Chuẩn bị vào tiệc</t>
  </si>
  <si>
    <t>MC thông báo khách vào ổn định chỗ ngồi
MC kiểm tra xem VIP đã đến đủ chưa</t>
  </si>
  <si>
    <t>- Trưởng phó đoàn + trưởng phó phòng đôn đốc nhân viên vào vị trí ngồi
- Dồn mâm</t>
  </si>
  <si>
    <t>Vẫn âm nhạc và LED như trên
Chuẩn bị nhạc bài mở màn</t>
  </si>
  <si>
    <t>Đội văn nghệ vào vị trí</t>
  </si>
  <si>
    <r>
      <rPr>
        <rFont val="Roboto"/>
        <color rgb="FF191919"/>
        <sz val="9.0"/>
      </rPr>
      <t xml:space="preserve">Đội hậu cần kiểm tra bàn bánh kem có dao cắt bánh + </t>
    </r>
    <r>
      <rPr>
        <rFont val="Roboto"/>
        <b/>
        <color rgb="FFFF0000"/>
        <sz val="9.0"/>
      </rPr>
      <t>bật lửa</t>
    </r>
    <r>
      <rPr>
        <rFont val="Roboto"/>
        <color rgb="FF191919"/>
        <sz val="9.0"/>
      </rPr>
      <t xml:space="preserve">, nến cắm trên bánh
- 1 khay có 10 ly bia ở cánh gà chuẩn bị cho nghi thức kỷ niệm.
</t>
    </r>
    <r>
      <rPr>
        <rFont val="Roboto"/>
        <b/>
        <color rgb="FFFF0000"/>
        <sz val="9.0"/>
      </rPr>
      <t>=&gt; Ms. Hoàn kiểm tra lại</t>
    </r>
  </si>
  <si>
    <t>Bê bánh kem ra tháp bánh</t>
  </si>
  <si>
    <t>Bắt đầu</t>
  </si>
  <si>
    <t>MC thông báo chương trình bắt đầu
MC kiểm tra xem VIP đã đến đủ chưa để thông báo</t>
  </si>
  <si>
    <t>- Tắt đèn hội trường: Quyền điều phối kỹ thuật nhà hàng
- Lên nhạc mở màn</t>
  </si>
  <si>
    <t>Tắt đèn hội trường</t>
  </si>
  <si>
    <t>18:00 - 18:05</t>
  </si>
  <si>
    <t>Tiết mục văn nghệ mở màn Gala</t>
  </si>
  <si>
    <t>Múa mở màn</t>
  </si>
  <si>
    <t>Đội văn nghệ Hạ Long (Ms. Ánh lead), MC off-stage</t>
  </si>
  <si>
    <t>- Nhạc bài múa
- LED backdrop</t>
  </si>
  <si>
    <t>Múa xong</t>
  </si>
  <si>
    <t>Đội văn nghệ chào và xuống sân khấu</t>
  </si>
  <si>
    <t>- Đèn vẫn tắt
- Nhạc dồn để MC lên sân khấu
- Về LED chính chương trình</t>
  </si>
  <si>
    <t>18:06 - 18:15</t>
  </si>
  <si>
    <t>MC bước ra chào mừng, tuyên bố lý do kỷ niệm 1 năm thương hiệu Tà Lùng Quang Minh. Trân trọng giới thiệu đại biểu HĐQT, BGĐ và đối tác khách mời.</t>
  </si>
  <si>
    <t>- Nhạc lên sau lời chào của MC
- Nhạc giới thiệu đạo biểu khi MC xướng tên 
- Đèn follow rọi bàn VIP 
- Vẫn giữ LED chính
- Chuẩn bị video 1 năm</t>
  </si>
  <si>
    <t>2 Micro không dây chuẩn bị pin mới, kiểm tra tín hiệu tốt. Cầm sẵn bản danh sách đại biểu chuẩn xác chức danh.</t>
  </si>
  <si>
    <t>18:15 - 18:25</t>
  </si>
  <si>
    <t>Trình chiếu video hành trình 1 năm</t>
  </si>
  <si>
    <t>MC dẫn dắt: "Kính mời quý vị cùng nhìn lại chặng đường 1 năm đầy tự hào vừa qua qua đoạn phim ngắn sau đây...". Trình chiếu clip</t>
  </si>
  <si>
    <t>Màn hình LED phát clip full HD.</t>
  </si>
  <si>
    <t>18:47 - 18:57</t>
  </si>
  <si>
    <t>MC trân trọng kính mời Đại diện Ban Lãnh đạo (CTHĐQT / TGĐ) lên sân khấu chia sẻ cảm nghĩ, tri ân và nêu định hướng phát triển thương hiệu.</t>
  </si>
  <si>
    <r>
      <rPr>
        <rFont val="Roboto"/>
        <color rgb="FF191919"/>
        <sz val="9.0"/>
      </rPr>
      <t xml:space="preserve">- Nhạc chào mừng trang trọng khi Lãnh đạo bước lên sân khấu.
- Bật đèn spotlight rọi bục phát biểu. 
- Màn LED chính
</t>
    </r>
    <r>
      <rPr>
        <rFont val="Roboto"/>
        <b/>
        <color rgb="FFFF0000"/>
        <sz val="9.0"/>
      </rPr>
      <t>- Quyền đưa mic cho sếp Định, cho 1 bật lửa vào túi quần</t>
    </r>
  </si>
  <si>
    <r>
      <rPr>
        <rFont val="Roboto"/>
        <color rgb="FF191919"/>
        <sz val="9.0"/>
      </rPr>
      <t xml:space="preserve">Đội hậu cần kiểm tra bàn bánh kem có dao cắt bánh + </t>
    </r>
    <r>
      <rPr>
        <rFont val="Roboto"/>
        <b/>
        <color rgb="FFFF0000"/>
        <sz val="9.0"/>
      </rPr>
      <t>bật lửa</t>
    </r>
    <r>
      <rPr>
        <rFont val="Roboto"/>
        <color rgb="FF191919"/>
        <sz val="9.0"/>
      </rPr>
      <t xml:space="preserve">, nến cắm trên bánh, </t>
    </r>
    <r>
      <rPr>
        <rFont val="Roboto"/>
        <b/>
        <color rgb="FFFF0000"/>
        <sz val="9.0"/>
      </rPr>
      <t>giấy ăn</t>
    </r>
    <r>
      <rPr>
        <rFont val="Roboto"/>
        <color rgb="FF191919"/>
        <sz val="9.0"/>
      </rPr>
      <t xml:space="preserve">
- 1 khay có 10 ly bia ở cánh gà chuẩn bị cho nghi thức kỷ niệm.
</t>
    </r>
    <r>
      <rPr>
        <rFont val="Roboto"/>
        <b/>
        <color rgb="FFFF0000"/>
        <sz val="9.0"/>
      </rPr>
      <t>=&gt; Ms. Hoàn kiểm tra lại</t>
    </r>
  </si>
  <si>
    <t>18:57 - 19:05</t>
  </si>
  <si>
    <t>Nghi thức kỷ niệm 1 năm: Thổi nến sinh nhật</t>
  </si>
  <si>
    <t>MC kính mời toàn thể Ban Lãnh đạo &amp; HĐQT cùng lên sân khấu thực hiện nghi thức thổi nến</t>
  </si>
  <si>
    <t>Lãnh đạo</t>
  </si>
  <si>
    <r>
      <rPr>
        <rFont val="Roboto"/>
        <color rgb="FF191919"/>
        <sz val="9.0"/>
      </rPr>
      <t xml:space="preserve">- LED đếm ngược 5 &gt;1
</t>
    </r>
    <r>
      <rPr>
        <rFont val="Roboto"/>
        <b/>
        <color rgb="FFFF0000"/>
        <sz val="9.0"/>
      </rPr>
      <t>- Quyền bật lửa cho nến</t>
    </r>
    <r>
      <rPr>
        <rFont val="Roboto"/>
        <color rgb="FF191919"/>
        <sz val="9.0"/>
      </rPr>
      <t xml:space="preserve">
- Lãnh đạo tự thổi nến &gt;&gt; cắt bánh =&gt; </t>
    </r>
    <r>
      <rPr>
        <rFont val="Roboto"/>
        <b/>
        <color rgb="FFFF0000"/>
        <sz val="9.0"/>
      </rPr>
      <t>Ms. Trang check sếp</t>
    </r>
    <r>
      <rPr>
        <rFont val="Roboto"/>
        <color rgb="FF191919"/>
        <sz val="9.0"/>
      </rPr>
      <t xml:space="preserve">
- 2 quả pháo điện bắn lên
- Hội trường vỗ tay
</t>
    </r>
    <r>
      <rPr>
        <rFont val="Roboto"/>
        <b/>
        <color rgb="FFFF0000"/>
        <sz val="9.0"/>
      </rPr>
      <t>- Đèn bật sáng</t>
    </r>
  </si>
  <si>
    <t>Đẩy bàn bánh sinh nhật (cắm nến và có bật lửa) ra giữa sân khấu;
- Chuẩn bị giấy ăn</t>
  </si>
  <si>
    <t>Quyền châm nến và đẩy bàn bánh</t>
  </si>
  <si>
    <r>
      <rPr>
        <rFont val="Arial"/>
        <color theme="1"/>
      </rPr>
      <t xml:space="preserve">- Nhà hàng bê bàn tháp bánh ra giữa
</t>
    </r>
    <r>
      <rPr>
        <rFont val="Arial"/>
        <b/>
        <color rgb="FFFF0000"/>
      </rPr>
      <t>- Quyền điều phối nhà hàng bắn pháo điện</t>
    </r>
  </si>
  <si>
    <t>19:05 - 19:10</t>
  </si>
  <si>
    <t>Nâng ly khai tiệc</t>
  </si>
  <si>
    <t>Lễ tân dâng khay rượu rót sẵn trao cho BLĐ. MC bắt nhịp "1, 2, 3... Dzooo!", toàn thể hội trường nâng ly chúc mừng.</t>
  </si>
  <si>
    <t>- Lễ tân nhà hàng bê bia mời lãnh đạo</t>
  </si>
  <si>
    <t>- Nhạc nền nâng ly
- Bật đèn hội trường</t>
  </si>
  <si>
    <t>Cử lễ tân thu dọn ly và đẩy bàn bánh vào cánh gà ngay sau khi nâng ly; báo nhà hàng bắt đầu lên món ăn tiệc.</t>
  </si>
  <si>
    <t>- Thu tháp bánh
- Bật đèn hội trường</t>
  </si>
  <si>
    <t>19:10 - 19:40</t>
  </si>
  <si>
    <t>Dùng tiệc tối Gala Dinner</t>
  </si>
  <si>
    <t>MC mời toàn thể CBNV và quan khách dùng tiệc ngon miệng, giao lưu thân mật giữa các phòng ban. Ban Lãnh đạo đi chúc rượu từng bàn.</t>
  </si>
  <si>
    <t>Khách dùng bữa</t>
  </si>
  <si>
    <t>- Bật playlist nhạc nền êm dịu, ấm cúng (acoustic/instrumental). 
- Màn LED chính</t>
  </si>
  <si>
    <t>Điều phối nhà hàng lên món đúng thực đơn đã duyệt (súp, hải sản, món nóng, tráng miệng). Kiểm tra tiếp đồ uống, rượu bia.</t>
  </si>
  <si>
    <t>MC và Ekip điều phối tranh thủ ăn nhẹ; kiểm tra sẵn sàng đạo cụ cho Game và Bốc thăm trúng thưởng phần 2.</t>
  </si>
  <si>
    <t>Văn nghệ mở màn Phần 2 (Hội)</t>
  </si>
  <si>
    <t>MC trở lại sân khấu khuấy động không khí, giới thiệu tiết mục văn nghệ đặc sắc mở màn phần 2 do Đội văn nghệ Cao Bằng biểu diễn.</t>
  </si>
  <si>
    <t>MC Ánh</t>
  </si>
  <si>
    <t>- Nhạc nhảy của đội Cao Bằng
- LED theo bài</t>
  </si>
  <si>
    <t>Đạo cụ biểu diễn, trang phục biểu diễn Cao Bằng sẵn sàng; test 2 micro cầm tay cho ca sĩ/diễn viên.</t>
  </si>
  <si>
    <t>Nhắc đội văn nghệ Cao Bằng có mặt sẵn sàng ở cánh gà từ 19:45; kiểm tra danh sách sinh nhật CBNV.</t>
  </si>
  <si>
    <t>Chúc mừng sinh nhật CBNV tháng 9 &amp; tháng 10</t>
  </si>
  <si>
    <t>MC đọc tên trân trọng mời CBNV có sinh nhật trong tháng 9 &amp; 10 lên sân khấu. Kính mời TGĐ lên trao quà, hoa và gửi lời chúc mừng tuổi mới.</t>
  </si>
  <si>
    <t>TGĐ trao quà, CBNV sinh nhật tháng 9 &amp; 10, MC đọc tên
Chủ tịch/ Phó tổng trao quà của TGĐ</t>
  </si>
  <si>
    <t>Bật nhạc sinh nhật vui tươi rộn ràng. Màn hình LED trình chiếu slide chúc mừng sinh nhật kèm danh sách và ảnh CBNV tháng 9 &amp; 10.</t>
  </si>
  <si>
    <r>
      <rPr>
        <rFont val="Roboto"/>
        <color rgb="FF191919"/>
        <sz val="9.0"/>
      </rPr>
      <t xml:space="preserve">- Khay có lì xì
- Lễ tân Hằng kế toán bê khay
</t>
    </r>
    <r>
      <rPr>
        <rFont val="Roboto"/>
        <b/>
        <color rgb="FFFF0000"/>
        <sz val="9.0"/>
      </rPr>
      <t>- Check xem có tặng hoa ko (check nếu có Ms. Trang phu nhân)</t>
    </r>
  </si>
  <si>
    <t>Vẫn đọc full danh sách</t>
  </si>
  <si>
    <t>Trò chơi cá nhân sân khấu (Mini Game 1)</t>
  </si>
  <si>
    <t>Game Đuổi hình bắt chữ</t>
  </si>
  <si>
    <t>MC quản trò (Đức &amp; Ánh), 
Thư ký game: Vân
Lễ tân bê quà: Hằng/ Huy
Người trao quà: Sếp Thủy</t>
  </si>
  <si>
    <t>Nhạc + LED game
Trả lời xong loạt câu hỏi thì mời hết lên sân khấu trao quà</t>
  </si>
  <si>
    <t>- Quà: ô TLQM</t>
  </si>
  <si>
    <t>Sắp xếp vị trí sân khấu an toàn; lễ tân chuẩn bị bình cá thủy tinh đựng phiếu bốc thăm cho đợt 1.</t>
  </si>
  <si>
    <t>Bốc thăm may mắn - Đợt 1 (Giải May Mắn)</t>
  </si>
  <si>
    <t>MC phổ biến thể lệ bốc thăm. Kính mời đại diện Lãnh đạo lên bốc thăm các giải May Mắn. MC xướng số/tên người trúng giải lên nhận quà.</t>
  </si>
  <si>
    <r>
      <rPr>
        <rFont val="Roboto"/>
        <color rgb="FF191919"/>
        <sz val="9.0"/>
      </rPr>
      <t xml:space="preserve">MC Ánh trên sân khấu
MC Đức khuấy động, mời khán giả bốc (có 12 giải thì mời 4 khách bốc 3 vé)
Lễ tân Hằng bê bể cá có phiếu đi cùng
Thư ký Vân + Như ghi chép kết quả
</t>
    </r>
    <r>
      <rPr>
        <rFont val="Roboto"/>
        <b/>
        <color rgb="FFFF0000"/>
        <sz val="9.0"/>
      </rPr>
      <t>2 Phó Tổng trao</t>
    </r>
  </si>
  <si>
    <t>Nhạc hồi hộp quay số (drum roll suspense), âm thanh chúc mừng chiến thắng vang dội khi công bố số trúng. Visual LED Bốc thăm.</t>
  </si>
  <si>
    <t>Bình cá thủy tinh đựng phiếu bốc thăm; khay phủ khăn vàng đựng quà các Giải May Mắn (quà bọc sẵn, dán nhãn giải).</t>
  </si>
  <si>
    <t>Kiểm tra tính hợp lệ của phiếu (dấu mộc, đúng tên, người trúng có mặt tại khán phòng); giữ lại phiếu đã trúng.</t>
  </si>
  <si>
    <t>20:25 - 20:35</t>
  </si>
  <si>
    <t>Trò chơi tập thể sân khấu (Team Game)</t>
  </si>
  <si>
    <t>Game Tạo dáng theo hình</t>
  </si>
  <si>
    <t>MC Ánh + Đức, mời mỗi đội 5 người lên sân khấu
Sếp Định trao giải</t>
  </si>
  <si>
    <t>Nhạc game vận động cực sung, nhịp điệu dồn dập. Đèn sân khấu chớp đổi màu liên tục theo nhịp trò chơi.</t>
  </si>
  <si>
    <t>Đạo cụ game đồng đội, 2 thùng quà lớn</t>
  </si>
  <si>
    <t>Đảm bảo khoảng trống sân khấu rộng rãi, nhắc nhở an toàn khi vận động; quản trò kiểm soát thời lượng đúng 10 phút.</t>
  </si>
  <si>
    <t>20:35 - 20:40</t>
  </si>
  <si>
    <t>Tiết mục văn nghệ giao lưu kết nối</t>
  </si>
  <si>
    <t>Tiết mục nhảy của đoàn thanh niên Cao Bằng</t>
  </si>
  <si>
    <t>Đội văn nghệ biểu diễn, MC giới thiệu tiết mục</t>
  </si>
  <si>
    <t>LED + nhạc nhảy</t>
  </si>
  <si>
    <t>Mic, đạo cụ nhảy</t>
  </si>
  <si>
    <t>Khi trao giải Game thì đội nhảy đứng sẵn sàng dưới cánh gà</t>
  </si>
  <si>
    <t>Bốc thăm may mắn - Đợt 2 (Giải Ba, Nhì, Nhất)</t>
  </si>
  <si>
    <t>bốc thăm lần lượt: 10 Giải Ba -&gt; 03 Giải Nhì -&gt; 01 Giải Nhất. Phỏng vấn ngắn người trúng Giải Nhất.</t>
  </si>
  <si>
    <t>- Giải Ba: Mời nhân viên lên sân khấu bốc thăm &gt; sếp Thủy trao
- Giải Nhì: anh Tùng bốc, anh Tùng trao
- Giải Nhất: sếp Định/ sếp Thắng
- Thư ký Vân/ Như/ Ngân ghi chép kết quả</t>
  </si>
  <si>
    <t>Nhạc hồi hộp kịch tính đỉnh cao, tiếng trống dồn, hiệu ứng sting hoành tráng khi mở tên Giải Nhất. Visual LED vinh danh giải thưởng.</t>
  </si>
  <si>
    <t>Thùng phiếu bốc thăm, khay phủ khăn vàng, các gói quà Giải Ba, Giải Nhì, Giải Nhất đóng gói sang trọng, bảng giải thưởng.</t>
  </si>
  <si>
    <t>Xác minh phiếu trúng thưởng hợp lệ; chụp ảnh lưu niệm người trúng giải lớn cùng Lãnh đạo cấp cao.</t>
  </si>
  <si>
    <t>21:00 - 21:05</t>
  </si>
  <si>
    <t>Tiết mục văn nghệ sôi động kết màn</t>
  </si>
  <si>
    <t>Đội văn nghệ Hạ Long lead bài hát tập thể sôi động (nhạc remix / flashmob), MC mời toàn thể Ban Lãnh đạo và CBNV cùng lên sân khấu hòa chung vũ điệu.</t>
  </si>
  <si>
    <t>Đội văn nghệ Hạ Long (sếp Thủy lead), Toàn thể CBNV công ty</t>
  </si>
  <si>
    <t>Nhạc + LED chính</t>
  </si>
  <si>
    <t>Thu dọn đạo cụ vào góc trong để mở rộng tối đa không gian sân khấu cho toàn bộ CBNV đứng biểu diễn.</t>
  </si>
  <si>
    <t>Khuấy động tinh thần đoàn kết, vui tươi; tập hợp đầy đủ các phòng ban lên sân khấu.</t>
  </si>
  <si>
    <t>21:05 - Kết thúc</t>
  </si>
  <si>
    <t>Chụp ảnh lưu niệm toàn thể công ty &amp; Tiễn khách</t>
  </si>
  <si>
    <t>MC điều phối sắp xếp toàn thể CBNV và khách mời đứng vào khung hình sân khấu chụp ảnh kỷ niệm 1 năm. MC chào tạm biệt và dặn dò lịch trình ngày mai.</t>
  </si>
  <si>
    <t>MC điều phối, Thợ quay phim / chụp ảnh, Toàn thể CBNV</t>
  </si>
  <si>
    <t>Nhạc vui tươi, hân hoan. Đèn khán phòng bật sáng 100%. Màn LED hiển thị backdrop chụp ảnh kỷ niệm 1 năm thương hiệu.</t>
  </si>
  <si>
    <t>Ekip chụp ảnh chuẩn bị góc máy rộng lấy toàn cảnh. Đội lễ tân và hậu cần hỗ trợ kiểm tra đồ đạc, dọn dẹp đạo cụ và tiễn khách.</t>
  </si>
  <si>
    <t>Nhắc nhở CBNV kiểm tra tư trang cá nhân; nhắc giờ tập trung sáng 07/10 ra bến cảng đi tàu tham quan vịnh Hạ Long.</t>
  </si>
  <si>
    <t>TỔNG CỘNG</t>
  </si>
  <si>
    <t>18:00 - 21:05 (185 phút)</t>
  </si>
  <si>
    <t>18 phân cảnh điều phối chi tiết</t>
  </si>
  <si>
    <t>Đã chuẩn bị đầy đủ kịch bản, lời dẫn MC, hiệu ứng kỹ thuật và đạo cụ lễ tân</t>
  </si>
  <si>
    <t>Phối hợp đồng bộ toàn bộ các bộ phận (MC, IT, Hậu cần, Lễ tân, Văn nghệ)</t>
  </si>
  <si>
    <t>Kỹ thuật âm thanh, ánh sáng, màn hình LED túc trực 100% thời gian</t>
  </si>
  <si>
    <t>Đạo cụ, quà tặng, bánh kem, sâm panh tập kết đúng vị trí sau cánh gà</t>
  </si>
  <si>
    <t>Điều phối viên (Stage Manager) dùng bộ đàm kiểm soát nhịp On-Air liên tục</t>
  </si>
  <si>
    <t>DANH SÁCH NHÂN VIÊN CÓ SINH NHẬT THÁNG 9 &amp; THÁNG 10/2026</t>
  </si>
  <si>
    <t>Ngày sinh đầy đủ</t>
  </si>
  <si>
    <t>Ngày sinh</t>
  </si>
  <si>
    <t>Tháng sinh</t>
  </si>
  <si>
    <t>Ngày bắt đầu làm việc cho công ty</t>
  </si>
  <si>
    <t>Tham gia Gala</t>
  </si>
  <si>
    <t>Hoàng Văn Vinh</t>
  </si>
  <si>
    <t>Sếp Trang</t>
  </si>
  <si>
    <t>CHECK</t>
  </si>
  <si>
    <t>TỔNG</t>
  </si>
  <si>
    <t>DANH SÁCH QUÀ BỐC THĂM TRÚNG THƯỞNG</t>
  </si>
  <si>
    <t>Số người tham dự dự kiến 16/09</t>
  </si>
  <si>
    <t>% quà</t>
  </si>
  <si>
    <t>Mục đích</t>
  </si>
  <si>
    <t>Quà tặng Gameshow</t>
  </si>
  <si>
    <t>Thùng quà đội nhất - Game</t>
  </si>
  <si>
    <t>Thùng secret 1</t>
  </si>
  <si>
    <t>game tập thể</t>
  </si>
  <si>
    <t>Thùng quà đội nhì - Game</t>
  </si>
  <si>
    <t>Thùng secret 2</t>
  </si>
  <si>
    <t>Các giải cá nhân Option 1</t>
  </si>
  <si>
    <t>Ô cầm tay TLQM - Số lượng unlimit</t>
  </si>
  <si>
    <t>Quà bốc thăm may mắn</t>
  </si>
  <si>
    <t>Quạt sưởi</t>
  </si>
  <si>
    <t>Giải Nhất</t>
  </si>
  <si>
    <t>https://www.dienmayxanh.com/quat-suoi/quat-suoi-gom-kangaroo-kgah06g?srsltid=AU7gw4XId1erAz3EssJeroSDdMw8ELJJXKG_6D3ltuzkT3yYhuemrD2p</t>
  </si>
  <si>
    <t>Bàn là hơi nước</t>
  </si>
  <si>
    <t>Giải Nhì</t>
  </si>
  <si>
    <t>https://www.dienmayxanh.com/ban-ui/ban-ui-hoi-nuoc-tefal-easy-steam-fv1955e0?srsltid=AU7gw4WvDADePrYxKvmqvijn2B4qo-ibweb_iDnYQEUu9mR1nsd2rKJb</t>
  </si>
  <si>
    <t>Ấm đun nước siêu tốc</t>
  </si>
  <si>
    <t>Giải Ba</t>
  </si>
  <si>
    <t>https://www.dienmayxanh.com/binh-dun-sieu-toc/binh-dun-sieu-toc-bear-15-lit-ke-5h15v35?srsltid=AU7gw4XAvW0GN1wTVus6LnVe3UrKXCoUVWfsd1TMqEbixdRstmBR1wTw</t>
  </si>
  <si>
    <t>Pin sạc dự phòng</t>
  </si>
  <si>
    <t>Giải May mắn</t>
  </si>
  <si>
    <t>https://www.dienmayxanh.com/binh-ly-giu-nhiet/binh-giu-nhiet-inox-500-ml-delites-z102-trang</t>
  </si>
  <si>
    <t>Tổng số giải</t>
  </si>
  <si>
    <t>Tổng số khách tham gia</t>
  </si>
  <si>
    <t>Tỉ lệ</t>
  </si>
  <si>
    <t>CÁC HẠNG MỤC SẢN PHẨM IN LOGO TÀ LÙNG QUANG MINH - ĐẶT SẢN XUẤT CÙNG ĐỢT SINH NHẬT</t>
  </si>
  <si>
    <t>Ô cầm tay thương hiệu TLQM</t>
  </si>
  <si>
    <t>Khảo sát giá theo từng mức số lượng để sản xuất</t>
  </si>
  <si>
    <t>Bút bi thương hiệu TLQM</t>
  </si>
  <si>
    <t>Số thương hiệu TLQM</t>
  </si>
  <si>
    <t>Cốc uống nước có quai, có hộp giấy</t>
  </si>
  <si>
    <t>Móc chìa khoá thương hiệu TLQM</t>
  </si>
  <si>
    <t>CÁC HẠNG MỤC LƯU LẠI THAM KHẢO</t>
  </si>
  <si>
    <t>Link</t>
  </si>
  <si>
    <t>Bộ nồi Elmic</t>
  </si>
  <si>
    <t>YEP</t>
  </si>
  <si>
    <t>https://www.dienmayxanh.com/noi/bo-3-cai-inox-elmich-trimax-xr-el-3843</t>
  </si>
  <si>
    <t>Máy hút ẩm</t>
  </si>
  <si>
    <t>https://www.dienmayxanh.com/may-hut-am/may-hut-am-sunhouse-shd-dhb2003</t>
  </si>
  <si>
    <t>Chăn lông cừu</t>
  </si>
  <si>
    <t>Có thể xem xét thêm nồi cơm điện/quạt Toshiba nhưng quạt hơi cồng kềnh cho di chuyển</t>
  </si>
  <si>
    <t>CHECKLIST CHƯƠNG TRÌNH</t>
  </si>
  <si>
    <t>Người phụ trách</t>
  </si>
  <si>
    <t>Hạn hoàn thành</t>
  </si>
  <si>
    <t>Lập chương trình, dự toán, trình lãnh đạo phê duyệt</t>
  </si>
  <si>
    <t>Quyên/ Trang</t>
  </si>
  <si>
    <t>Tạm ứng</t>
  </si>
  <si>
    <t>Quyên/ Dung</t>
  </si>
  <si>
    <t>Chi cho các khoản mục không ký hợp đồng tại từng điểm</t>
  </si>
  <si>
    <t>Hoàn ứng + Báo cáo chi phí thực tế</t>
  </si>
  <si>
    <t>Thành lập BTC</t>
  </si>
  <si>
    <t>Họp rút kinh nghiệm</t>
  </si>
  <si>
    <t>Thông báo chương trình tới nhân viên + Gửi link đăng ký tham dự</t>
  </si>
  <si>
    <t>Chốt danh sách tham dự lần 1 để đặt xe/ phòng</t>
  </si>
  <si>
    <t>Gửi thiệp mời cho nhóm Greentech</t>
  </si>
  <si>
    <t>c Trang</t>
  </si>
  <si>
    <t>Gửi thiệp mời HĐQT</t>
  </si>
  <si>
    <t>Quyên gửi sếp Thuỷ</t>
  </si>
  <si>
    <t>Chốt số lượng nhóm Greentech Bắc Ninh</t>
  </si>
  <si>
    <t>Chốt số lượng HĐQT</t>
  </si>
  <si>
    <t>Quyên check sếp Thuỷ</t>
  </si>
  <si>
    <t>Mời Hà</t>
  </si>
  <si>
    <t>Làm hợp đồng, đặt cọc thuê xe vận chuyển</t>
  </si>
  <si>
    <t>Quyên + Ngọc</t>
  </si>
  <si>
    <t>Sản xuất Banner treo xe</t>
  </si>
  <si>
    <t>MKT, Quyên, Ngọc</t>
  </si>
  <si>
    <t>Thiết kế, in ấn</t>
  </si>
  <si>
    <t>Dán banner theo xe</t>
  </si>
  <si>
    <t>Phối hợp bên nhà xe hoặc phòng Vậ hành</t>
  </si>
  <si>
    <t>Đặt phòng khách sạn</t>
  </si>
  <si>
    <t>Chốt số lượng và đặt ăn sáng ngày 1 cho nhân viên Cao Bằng (trên đường đi)</t>
  </si>
  <si>
    <t>Phối hợp với phòng Kinh doanh để khảo sát địa điểm phù hợp</t>
  </si>
  <si>
    <t>Chốt số lượng và đặt an tối ngày 2 cho nhân viên Cao Bằng (trên đường đi)</t>
  </si>
  <si>
    <t>Mua nước uống theo xe</t>
  </si>
  <si>
    <t>Mua mang lên xe</t>
  </si>
  <si>
    <t>Đặt ăn trưa ngày 1 cho toàn đoàn</t>
  </si>
  <si>
    <t>Kiểm tra đơn giá ăn và menu, gửi phê duyệt tới sếp</t>
  </si>
  <si>
    <t>Đặt ăn tiệc gala</t>
  </si>
  <si>
    <t>Làm hợp đồng, đặt cọc</t>
  </si>
  <si>
    <t>Sắp xếp chỗ ngồi (VIP, khu vực nhân viên các công ty)</t>
  </si>
  <si>
    <t>Quyên/ c Trang</t>
  </si>
  <si>
    <t>Trình sếp phê duyệt</t>
  </si>
  <si>
    <t>Ngọc</t>
  </si>
  <si>
    <t>Đặt của nhà hàng</t>
  </si>
  <si>
    <t>Mua ngoài</t>
  </si>
  <si>
    <t>Kiểm tra với nhà hàng</t>
  </si>
  <si>
    <t>Ánh</t>
  </si>
  <si>
    <t>Làm phiếu bốc thăm trúng thưởng</t>
  </si>
  <si>
    <t>Lên số lượng và mặt hàng cần in logo thương hiệu</t>
  </si>
  <si>
    <t>HR + MKT</t>
  </si>
  <si>
    <t>Hoa tặng các nhân viên diễn văn nghệ</t>
  </si>
  <si>
    <t>Mua tầm 3 bó và khoảng 10 bông rời</t>
  </si>
  <si>
    <t>Sản xuất backdrop, hashtag chụp ảnh</t>
  </si>
  <si>
    <t>Quyên + MKT</t>
  </si>
  <si>
    <t>Ánh + Ngọc</t>
  </si>
  <si>
    <t>Thuê và làm hợp đồng</t>
  </si>
  <si>
    <t>Làm video kỷ niệm 1 năm</t>
  </si>
  <si>
    <t>MKT + HR</t>
  </si>
  <si>
    <t>MKT phụ trách chính</t>
  </si>
  <si>
    <t>Lấy số lượng thăm bảo tàng + Mua vé trực tiếp tại quầy</t>
  </si>
  <si>
    <t>Thuê Thuyết minh tại bảo tàng</t>
  </si>
  <si>
    <t>Làm hợp đồng và thanh toán vé tàu thăm vịnh</t>
  </si>
  <si>
    <t>Xin giá từ chị Hương. Chú ý điểu khoản tăng giảm vé. Số lượng chính xác sẽ báo tàu sáng ngày 06/10/2026</t>
  </si>
  <si>
    <t>Check thời gian cano về bờ</t>
  </si>
  <si>
    <t>Báo đầu mối liên hệ cano</t>
  </si>
  <si>
    <t>Có thể nhờ thêm chỗ c Hương</t>
  </si>
  <si>
    <t>Tiền thưởng cho nhân viên</t>
  </si>
  <si>
    <t>Ngân</t>
  </si>
  <si>
    <t>Làm danh sách</t>
  </si>
  <si>
    <t>Thu thập danh sách nhân viên không tham dự được và các lý do đi kèm để báo lãnh đạo</t>
  </si>
  <si>
    <t>Quyên + Ngân</t>
  </si>
  <si>
    <t>Làm danh sách báo sếp</t>
  </si>
  <si>
    <t>Ý TƯỞNG CÁC TIẾT MỤC VĂN NGHỆ MỞ MÀN</t>
  </si>
  <si>
    <t>Hình thức</t>
  </si>
  <si>
    <t>Link tham khảo</t>
  </si>
  <si>
    <t>Final</t>
  </si>
  <si>
    <t>Flashmob đơn giản</t>
  </si>
  <si>
    <t>https://www.youtube.com/watch?si=ZJ3I7rO8syRtiFSZ&amp;v=hka9VAf1ays&amp;feature=youtu.be</t>
  </si>
  <si>
    <t>Nhạc này, chọn bản đơn giản</t>
  </si>
  <si>
    <t>Bài này có thể nhảy lúc cuối chương trình được</t>
  </si>
  <si>
    <t>Chọn</t>
  </si>
  <si>
    <t>Múa</t>
  </si>
  <si>
    <t>https://www.facebook.com/share/v/19MEp3PNt2/?mibextid=wwXIfrp</t>
  </si>
  <si>
    <t>Theo mạch cảm xúc: Chương trình kết nối con người ở các vùng miền đất nước, công ty lớn mạnh theo dòng phát triển của đất nước .....</t>
  </si>
  <si>
    <t>https://www.facebook.com/share/v/1ME2Y3h9TT/?mibextid=wwXIfr</t>
  </si>
  <si>
    <t>Kèm lời thoại, nội dung về công ty, các dịch vụ của công ty - Ánh MKT làm</t>
  </si>
  <si>
    <t>https://www.facebook.com/share/v/1LMiv9FFPC/?mibextid=wwXIfr</t>
  </si>
  <si>
    <t>https://www.facebook.com/share/v/1FR4TRZv6T/</t>
  </si>
  <si>
    <t>Múa tương tác LED</t>
  </si>
  <si>
    <t>https://www.facebook.com/share/v/1Hp1jXWU9e/</t>
  </si>
  <si>
    <t>Kèm hiệu ứng LED (MKT làm): Các hình ảnh về bến bãi, dịch vụ của công ty</t>
  </si>
  <si>
    <t>https://www.youtube.com/watch?si=9NiE6f8rVnpcDuqL&amp;v=APZjIXp6t30&amp;feature=youtu.be</t>
  </si>
  <si>
    <t>Theo mạch cảm xúc: Chương trình kết nối con người ở các vùng miền đất nước</t>
  </si>
  <si>
    <t>https://www.tiktok.com/@keyurbambhaniya/video/7682572586055634197?_r=1&amp;_t=ZS-99eymQrRh92</t>
  </si>
  <si>
    <t>Nhảy múa đơn giản, sôi động</t>
  </si>
  <si>
    <t>https://youtu.be/vu0twUPIIyk?si=U2rcYBssgeTKxNRX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</si>
</sst>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;(#,##0)"/>
    <numFmt numFmtId="165" formatCode="dd/mm/yyyy"/>
    <numFmt numFmtId="166" formatCode="hh:mm"/>
    <numFmt numFmtId="167" formatCode="d/m"/>
    <numFmt numFmtId="168" formatCode="d/m/yyyy"/>
    <numFmt numFmtId="169" formatCode="000"/>
    <numFmt numFmtId="170" formatCode="d-m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b/>
      <sz val="11.0"/>
      <color rgb="FFFF0000"/>
      <name val="Times New Roman"/>
    </font>
    <font>
      <sz val="11.0"/>
      <color rgb="FFFF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color rgb="FFFF0000"/>
      <name val="Arial"/>
      <scheme val="minor"/>
    </font>
    <font>
      <color rgb="FF000000"/>
      <name val="Arial"/>
      <scheme val="minor"/>
    </font>
    <font>
      <b/>
      <sz val="11.0"/>
      <color rgb="FF193359"/>
      <name val="Times New Roman"/>
    </font>
    <font>
      <b/>
      <color rgb="FFFF0000"/>
      <name val="Arial"/>
      <scheme val="minor"/>
    </font>
    <font>
      <b/>
      <sz val="14.0"/>
      <color rgb="FF000000"/>
      <name val="&quot;Times New Roman&quot;"/>
    </font>
    <font>
      <b/>
      <sz val="11.0"/>
      <color rgb="FF000000"/>
      <name val="&quot;Times New Roman&quot;"/>
    </font>
    <font>
      <b/>
      <color rgb="FF000000"/>
      <name val="Arial"/>
      <scheme val="minor"/>
    </font>
    <font>
      <b/>
      <sz val="12.0"/>
      <color rgb="FFFF0000"/>
      <name val="&quot;Times New Roman&quot;"/>
    </font>
    <font>
      <sz val="11.0"/>
      <color rgb="FF000000"/>
      <name val="&quot;Times New Roman&quot;"/>
    </font>
    <font>
      <sz val="12.0"/>
      <color rgb="FF000000"/>
      <name val="&quot;Times New Roman&quot;"/>
    </font>
    <font>
      <sz val="11.0"/>
      <color theme="1"/>
      <name val="&quot;Times New Roman&quot;"/>
    </font>
    <font>
      <sz val="11.0"/>
      <color rgb="FFFF0000"/>
      <name val="&quot;Times New Roman&quot;"/>
    </font>
    <font>
      <b/>
      <sz val="11.0"/>
      <color rgb="FFFF0000"/>
      <name val="&quot;Times New Roman&quot;"/>
    </font>
    <font>
      <b/>
      <sz val="14.0"/>
      <color rgb="FF1B365D"/>
      <name val="Roboto"/>
    </font>
    <font>
      <i/>
      <sz val="10.0"/>
      <color rgb="FF59667A"/>
      <name val="Roboto"/>
    </font>
    <font>
      <b/>
      <sz val="9.0"/>
      <color rgb="FFFFFFFF"/>
      <name val="Roboto"/>
    </font>
    <font>
      <sz val="10.0"/>
      <color rgb="FF19263F"/>
      <name val="Roboto"/>
    </font>
    <font>
      <b/>
      <sz val="10.0"/>
      <color rgb="FF143372"/>
      <name val="Roboto"/>
    </font>
    <font>
      <b/>
      <sz val="10.0"/>
      <color rgb="FFFFFFFF"/>
      <name val="Roboto"/>
    </font>
    <font>
      <sz val="9.0"/>
      <color rgb="FF191919"/>
      <name val="Roboto"/>
    </font>
    <font>
      <b/>
      <sz val="10.0"/>
      <color rgb="FF14284C"/>
      <name val="Roboto"/>
    </font>
    <font>
      <b/>
      <sz val="10.0"/>
      <color rgb="FF193359"/>
      <name val="Roboto"/>
    </font>
    <font>
      <b/>
      <color rgb="FFFFFFFF"/>
      <name val="Arial"/>
    </font>
    <font>
      <b/>
      <color rgb="FF002060"/>
      <name val="Arial"/>
    </font>
    <font>
      <color rgb="FF002060"/>
      <name val="Arial"/>
    </font>
    <font>
      <u/>
      <color rgb="FF0000FF"/>
    </font>
    <font>
      <u/>
      <color rgb="FF0000FF"/>
    </font>
    <font>
      <u/>
      <color rgb="FF0000FF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E5EDF7"/>
        <bgColor rgb="FFE5EDF7"/>
      </patternFill>
    </fill>
    <fill>
      <patternFill patternType="solid">
        <fgColor rgb="FFEFF4FC"/>
        <bgColor rgb="FFEFF4FC"/>
      </patternFill>
    </fill>
    <fill>
      <patternFill patternType="solid">
        <fgColor rgb="FF264777"/>
        <bgColor rgb="FF264777"/>
      </patternFill>
    </fill>
    <fill>
      <patternFill patternType="solid">
        <fgColor rgb="FFF2F7FF"/>
        <bgColor rgb="FFF2F7FF"/>
      </patternFill>
    </fill>
    <fill>
      <patternFill patternType="solid">
        <fgColor rgb="FFD8E5F9"/>
        <bgColor rgb="FFD8E5F9"/>
      </patternFill>
    </fill>
    <fill>
      <patternFill patternType="solid">
        <fgColor rgb="FF1B365D"/>
        <bgColor rgb="FF1B365D"/>
      </patternFill>
    </fill>
    <fill>
      <patternFill patternType="solid">
        <fgColor rgb="FFF6F8FD"/>
        <bgColor rgb="FFF6F8FD"/>
      </patternFill>
    </fill>
    <fill>
      <patternFill patternType="solid">
        <fgColor rgb="FFE2EDF9"/>
        <bgColor rgb="FFE2EDF9"/>
      </patternFill>
    </fill>
    <fill>
      <patternFill patternType="solid">
        <fgColor rgb="FF093D93"/>
        <bgColor rgb="FF093D93"/>
      </patternFill>
    </fill>
    <fill>
      <patternFill patternType="solid">
        <fgColor rgb="FFF8F9FA"/>
        <bgColor rgb="FFF8F9FA"/>
      </patternFill>
    </fill>
  </fills>
  <borders count="32">
    <border/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0E5ED"/>
      </left>
      <right style="thin">
        <color rgb="FFE0E5ED"/>
      </right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ADCC"/>
      </left>
      <top style="thin">
        <color rgb="FF99ADCC"/>
      </top>
      <bottom style="thin">
        <color rgb="FFB2C1D8"/>
      </bottom>
    </border>
    <border>
      <right style="thin">
        <color rgb="FFB2C1D8"/>
      </right>
      <top style="thin">
        <color rgb="FF99ADCC"/>
      </top>
      <bottom style="thin">
        <color rgb="FFB2C1D8"/>
      </bottom>
    </border>
    <border>
      <left style="thin">
        <color rgb="FFB2C1D8"/>
      </left>
      <top style="thin">
        <color rgb="FF99ADCC"/>
      </top>
      <bottom style="thin">
        <color rgb="FFB2C1D8"/>
      </bottom>
    </border>
    <border>
      <right style="thin">
        <color rgb="FF99ADCC"/>
      </right>
      <top style="thin">
        <color rgb="FF99ADCC"/>
      </top>
      <bottom style="thin">
        <color rgb="FFB2C1D8"/>
      </bottom>
    </border>
    <border>
      <left style="thin">
        <color rgb="FF99ADCC"/>
      </left>
      <top style="thin">
        <color rgb="FFB2C1D8"/>
      </top>
      <bottom style="thin">
        <color rgb="FF99ADCC"/>
      </bottom>
    </border>
    <border>
      <right style="thin">
        <color rgb="FFB2C1D8"/>
      </right>
      <top style="thin">
        <color rgb="FFB2C1D8"/>
      </top>
      <bottom style="thin">
        <color rgb="FF99ADCC"/>
      </bottom>
    </border>
    <border>
      <left style="thin">
        <color rgb="FFB2C1D8"/>
      </left>
      <top style="thin">
        <color rgb="FFB2C1D8"/>
      </top>
      <bottom style="thin">
        <color rgb="FF99ADCC"/>
      </bottom>
    </border>
    <border>
      <right style="thin">
        <color rgb="FF99ADCC"/>
      </right>
      <top style="thin">
        <color rgb="FFB2C1D8"/>
      </top>
      <bottom style="thin">
        <color rgb="FF99ADCC"/>
      </bottom>
    </border>
    <border>
      <left style="medium">
        <color rgb="FF1B365D"/>
      </left>
      <right style="thin">
        <color rgb="FFCCD6E5"/>
      </right>
      <top style="medium">
        <color rgb="FF1B365D"/>
      </top>
      <bottom style="thin">
        <color rgb="FFCCD6E5"/>
      </bottom>
    </border>
    <border>
      <left style="thin">
        <color rgb="FFCCD6E5"/>
      </left>
      <right style="thin">
        <color rgb="FFCCD6E5"/>
      </right>
      <top style="medium">
        <color rgb="FF1B365D"/>
      </top>
      <bottom style="thin">
        <color rgb="FFCCD6E5"/>
      </bottom>
    </border>
    <border>
      <left style="thin">
        <color rgb="FFCCD6E5"/>
      </left>
      <right style="medium">
        <color rgb="FF1B365D"/>
      </right>
      <top style="medium">
        <color rgb="FF1B365D"/>
      </top>
      <bottom style="thin">
        <color rgb="FFCCD6E5"/>
      </bottom>
    </border>
    <border>
      <left style="medium">
        <color rgb="FF1B365D"/>
      </left>
      <right style="thin">
        <color rgb="FFCCD6E5"/>
      </right>
      <bottom style="thin">
        <color rgb="FFCCD6E5"/>
      </bottom>
    </border>
    <border>
      <left style="thin">
        <color rgb="FFCCD6E5"/>
      </left>
      <right style="thin">
        <color rgb="FFCCD6E5"/>
      </right>
      <bottom style="thin">
        <color rgb="FFCCD6E5"/>
      </bottom>
    </border>
    <border>
      <left style="thin">
        <color rgb="FFCCD6E5"/>
      </left>
      <right style="medium">
        <color rgb="FF1B365D"/>
      </right>
      <bottom style="thin">
        <color rgb="FFCCD6E5"/>
      </bottom>
    </border>
    <border>
      <left style="medium">
        <color rgb="FF1B365D"/>
      </left>
      <right style="thin">
        <color rgb="FFCCD6E5"/>
      </right>
      <top style="thin">
        <color rgb="FFCCD6E5"/>
      </top>
      <bottom style="thin">
        <color rgb="FFCCD6E5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thin">
        <color rgb="FFCCD6E5"/>
      </bottom>
    </border>
    <border>
      <left style="thin">
        <color rgb="FFCCD6E5"/>
      </left>
      <right style="medium">
        <color rgb="FF1B365D"/>
      </right>
      <top style="thin">
        <color rgb="FFCCD6E5"/>
      </top>
      <bottom style="thin">
        <color rgb="FFCCD6E5"/>
      </bottom>
    </border>
    <border>
      <left style="medium">
        <color rgb="FF1B365D"/>
      </left>
      <right style="thin">
        <color rgb="FFCCD6E5"/>
      </right>
      <top style="thin">
        <color rgb="FFCCD6E5"/>
      </top>
      <bottom style="medium">
        <color rgb="FF1B365D"/>
      </bottom>
    </border>
    <border>
      <left style="thin">
        <color rgb="FFCCD6E5"/>
      </left>
      <right style="thin">
        <color rgb="FFCCD6E5"/>
      </right>
      <top style="thin">
        <color rgb="FFCCD6E5"/>
      </top>
      <bottom style="medium">
        <color rgb="FF1B365D"/>
      </bottom>
    </border>
    <border>
      <left style="thin">
        <color rgb="FFCCD6E5"/>
      </left>
      <right style="medium">
        <color rgb="FF1B365D"/>
      </right>
      <top style="thin">
        <color rgb="FFCCD6E5"/>
      </top>
      <bottom style="medium">
        <color rgb="FF1B365D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readingOrder="0" vertical="bottom"/>
    </xf>
    <xf quotePrefix="1" borderId="2" fillId="2" fontId="4" numFmtId="0" xfId="0" applyAlignment="1" applyBorder="1" applyFill="1" applyFont="1">
      <alignment horizontal="center" vertical="bottom"/>
    </xf>
    <xf borderId="2" fillId="2" fontId="4" numFmtId="0" xfId="0" applyAlignment="1" applyBorder="1" applyFill="1" applyFont="1">
      <alignment vertical="bottom"/>
    </xf>
    <xf borderId="2" fillId="2" fontId="4" numFmtId="0" xfId="0" applyAlignment="1" applyBorder="1" applyFill="1" applyFont="1">
      <alignment readingOrder="0" vertical="bottom"/>
    </xf>
    <xf borderId="2" fillId="2" fontId="4" numFmtId="164" xfId="0" applyAlignment="1" applyBorder="1" applyFill="1" applyFont="1" applyNumberFormat="1">
      <alignment horizontal="right" vertical="bottom"/>
    </xf>
    <xf borderId="2" fillId="2" fontId="4" numFmtId="164" xfId="0" applyAlignment="1" applyBorder="1" applyFill="1" applyFont="1" applyNumberFormat="1">
      <alignment readingOrder="0" vertical="bottom"/>
    </xf>
    <xf borderId="2" fillId="2" fontId="4" numFmtId="164" xfId="0" applyAlignment="1" applyBorder="1" applyFill="1" applyFont="1" applyNumberFormat="1">
      <alignment vertical="bottom"/>
    </xf>
    <xf borderId="2" fillId="2" fontId="4" numFmtId="0" xfId="0" applyAlignment="1" applyBorder="1" applyFill="1" applyFont="1">
      <alignment horizontal="left" readingOrder="0" vertical="center"/>
    </xf>
    <xf borderId="0" fillId="2" fontId="4" numFmtId="0" xfId="0" applyAlignment="1" applyFill="1" applyFont="1">
      <alignment vertical="bottom"/>
    </xf>
    <xf borderId="2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ill="1" applyFont="1">
      <alignment horizontal="center" vertical="bottom"/>
    </xf>
    <xf borderId="2" fillId="3" fontId="4" numFmtId="164" xfId="0" applyAlignment="1" applyBorder="1" applyFill="1" applyFont="1" applyNumberFormat="1">
      <alignment vertical="bottom"/>
    </xf>
    <xf borderId="2" fillId="3" fontId="3" numFmtId="0" xfId="0" applyAlignment="1" applyBorder="1" applyFill="1" applyFont="1">
      <alignment horizontal="center" vertical="bottom"/>
    </xf>
    <xf quotePrefix="1" borderId="2" fillId="3" fontId="4" numFmtId="0" xfId="0" applyAlignment="1" applyBorder="1" applyFill="1" applyFont="1">
      <alignment horizontal="center" vertical="bottom"/>
    </xf>
    <xf borderId="2" fillId="3" fontId="4" numFmtId="0" xfId="0" applyAlignment="1" applyBorder="1" applyFill="1" applyFont="1">
      <alignment vertical="bottom"/>
    </xf>
    <xf borderId="2" fillId="3" fontId="4" numFmtId="0" xfId="0" applyAlignment="1" applyBorder="1" applyFill="1" applyFont="1">
      <alignment readingOrder="0" vertical="bottom"/>
    </xf>
    <xf borderId="2" fillId="3" fontId="4" numFmtId="164" xfId="0" applyAlignment="1" applyBorder="1" applyFill="1" applyFont="1" applyNumberFormat="1">
      <alignment horizontal="right" vertical="bottom"/>
    </xf>
    <xf borderId="2" fillId="3" fontId="4" numFmtId="164" xfId="0" applyAlignment="1" applyBorder="1" applyFill="1" applyFont="1" applyNumberFormat="1">
      <alignment readingOrder="0" vertical="bottom"/>
    </xf>
    <xf borderId="2" fillId="3" fontId="4" numFmtId="0" xfId="0" applyAlignment="1" applyBorder="1" applyFill="1" applyFont="1">
      <alignment horizontal="left" readingOrder="0" vertical="center"/>
    </xf>
    <xf borderId="0" fillId="3" fontId="4" numFmtId="0" xfId="0" applyAlignment="1" applyFill="1" applyFont="1">
      <alignment vertical="bottom"/>
    </xf>
    <xf borderId="2" fillId="2" fontId="5" numFmtId="0" xfId="0" applyAlignment="1" applyBorder="1" applyFill="1" applyFont="1">
      <alignment horizontal="center" vertical="bottom"/>
    </xf>
    <xf quotePrefix="1" borderId="2" fillId="2" fontId="6" numFmtId="0" xfId="0" applyAlignment="1" applyBorder="1" applyFill="1" applyFont="1">
      <alignment horizontal="center" vertical="bottom"/>
    </xf>
    <xf borderId="2" fillId="2" fontId="6" numFmtId="0" xfId="0" applyAlignment="1" applyBorder="1" applyFill="1" applyFont="1">
      <alignment vertical="bottom"/>
    </xf>
    <xf borderId="2" fillId="2" fontId="6" numFmtId="0" xfId="0" applyAlignment="1" applyBorder="1" applyFill="1" applyFont="1">
      <alignment readingOrder="0" vertical="bottom"/>
    </xf>
    <xf borderId="2" fillId="2" fontId="6" numFmtId="164" xfId="0" applyAlignment="1" applyBorder="1" applyFill="1" applyFont="1" applyNumberFormat="1">
      <alignment horizontal="right" readingOrder="0" vertical="bottom"/>
    </xf>
    <xf borderId="2" fillId="2" fontId="6" numFmtId="164" xfId="0" applyAlignment="1" applyBorder="1" applyFill="1" applyFont="1" applyNumberFormat="1">
      <alignment readingOrder="0" vertical="bottom"/>
    </xf>
    <xf borderId="2" fillId="2" fontId="6" numFmtId="164" xfId="0" applyAlignment="1" applyBorder="1" applyFill="1" applyFont="1" applyNumberFormat="1">
      <alignment vertical="bottom"/>
    </xf>
    <xf borderId="2" fillId="2" fontId="6" numFmtId="0" xfId="0" applyAlignment="1" applyBorder="1" applyFill="1" applyFont="1">
      <alignment horizontal="left" readingOrder="0" vertical="center"/>
    </xf>
    <xf borderId="0" fillId="2" fontId="6" numFmtId="0" xfId="0" applyAlignment="1" applyFill="1" applyFont="1">
      <alignment vertical="bottom"/>
    </xf>
    <xf borderId="2" fillId="0" fontId="4" numFmtId="0" xfId="0" applyAlignment="1" applyBorder="1" applyFont="1">
      <alignment horizontal="left" readingOrder="0" vertical="center"/>
    </xf>
    <xf borderId="2" fillId="2" fontId="4" numFmtId="0" xfId="0" applyAlignment="1" applyBorder="1" applyFill="1" applyFont="1">
      <alignment horizontal="left" vertical="center"/>
    </xf>
    <xf borderId="2" fillId="2" fontId="7" numFmtId="0" xfId="0" applyAlignment="1" applyBorder="1" applyFill="1" applyFont="1">
      <alignment horizontal="center" vertical="bottom"/>
    </xf>
    <xf borderId="2" fillId="2" fontId="8" numFmtId="0" xfId="0" applyAlignment="1" applyBorder="1" applyFill="1" applyFont="1">
      <alignment vertical="bottom"/>
    </xf>
    <xf borderId="2" fillId="2" fontId="8" numFmtId="0" xfId="0" applyAlignment="1" applyBorder="1" applyFill="1" applyFont="1">
      <alignment readingOrder="0" vertical="bottom"/>
    </xf>
    <xf borderId="2" fillId="2" fontId="8" numFmtId="164" xfId="0" applyAlignment="1" applyBorder="1" applyFill="1" applyFont="1" applyNumberFormat="1">
      <alignment horizontal="right" readingOrder="0" vertical="bottom"/>
    </xf>
    <xf borderId="2" fillId="2" fontId="8" numFmtId="164" xfId="0" applyAlignment="1" applyBorder="1" applyFill="1" applyFont="1" applyNumberFormat="1">
      <alignment vertical="bottom"/>
    </xf>
    <xf borderId="2" fillId="2" fontId="8" numFmtId="164" xfId="0" applyAlignment="1" applyBorder="1" applyFill="1" applyFont="1" applyNumberFormat="1">
      <alignment readingOrder="0" vertical="bottom"/>
    </xf>
    <xf borderId="0" fillId="2" fontId="8" numFmtId="0" xfId="0" applyAlignment="1" applyFill="1" applyFont="1">
      <alignment vertical="bottom"/>
    </xf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readingOrder="0" vertical="bottom"/>
    </xf>
    <xf borderId="2" fillId="2" fontId="4" numFmtId="164" xfId="0" applyAlignment="1" applyBorder="1" applyFill="1" applyFont="1" applyNumberFormat="1">
      <alignment horizontal="right" readingOrder="0" vertical="bottom"/>
    </xf>
    <xf borderId="2" fillId="4" fontId="3" numFmtId="0" xfId="0" applyAlignment="1" applyBorder="1" applyFill="1" applyFont="1">
      <alignment vertical="bottom"/>
    </xf>
    <xf borderId="2" fillId="4" fontId="3" numFmtId="0" xfId="0" applyAlignment="1" applyBorder="1" applyFill="1" applyFont="1">
      <alignment readingOrder="0" vertical="bottom"/>
    </xf>
    <xf borderId="2" fillId="4" fontId="3" numFmtId="164" xfId="0" applyAlignment="1" applyBorder="1" applyFill="1" applyFont="1" applyNumberFormat="1">
      <alignment vertical="bottom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wrapText="1"/>
    </xf>
    <xf borderId="0" fillId="0" fontId="2" numFmtId="0" xfId="0" applyFont="1"/>
    <xf borderId="2" fillId="5" fontId="2" numFmtId="0" xfId="0" applyAlignment="1" applyBorder="1" applyFill="1" applyFont="1">
      <alignment readingOrder="0"/>
    </xf>
    <xf borderId="2" fillId="5" fontId="2" numFmtId="0" xfId="0" applyAlignment="1" applyBorder="1" applyFill="1" applyFont="1">
      <alignment readingOrder="0" shrinkToFit="0" wrapText="1"/>
    </xf>
    <xf borderId="2" fillId="5" fontId="2" numFmtId="3" xfId="0" applyAlignment="1" applyBorder="1" applyFill="1" applyFont="1" applyNumberFormat="1">
      <alignment readingOrder="0"/>
    </xf>
    <xf borderId="2" fillId="5" fontId="2" numFmtId="3" xfId="0" applyBorder="1" applyFill="1" applyFont="1" applyNumberFormat="1"/>
    <xf borderId="2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readingOrder="0" shrinkToFit="0" wrapText="1"/>
    </xf>
    <xf borderId="2" fillId="3" fontId="2" numFmtId="0" xfId="0" applyAlignment="1" applyBorder="1" applyFill="1" applyFont="1">
      <alignment readingOrder="0"/>
    </xf>
    <xf borderId="2" fillId="3" fontId="2" numFmtId="3" xfId="0" applyAlignment="1" applyBorder="1" applyFill="1" applyFont="1" applyNumberFormat="1">
      <alignment readingOrder="0"/>
    </xf>
    <xf borderId="2" fillId="3" fontId="2" numFmtId="3" xfId="0" applyBorder="1" applyFill="1" applyFont="1" applyNumberFormat="1"/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2" fillId="0" fontId="1" numFmtId="3" xfId="0" applyAlignment="1" applyBorder="1" applyFont="1" applyNumberFormat="1">
      <alignment readingOrder="0"/>
    </xf>
    <xf borderId="2" fillId="0" fontId="1" numFmtId="3" xfId="0" applyBorder="1" applyFont="1" applyNumberFormat="1"/>
    <xf borderId="0" fillId="0" fontId="1" numFmtId="4" xfId="0" applyFont="1" applyNumberFormat="1"/>
    <xf borderId="0" fillId="0" fontId="1" numFmtId="3" xfId="0" applyFont="1" applyNumberFormat="1"/>
    <xf borderId="2" fillId="0" fontId="12" numFmtId="3" xfId="0" applyAlignment="1" applyBorder="1" applyFont="1" applyNumberFormat="1">
      <alignment readingOrder="0"/>
    </xf>
    <xf borderId="0" fillId="0" fontId="1" numFmtId="3" xfId="0" applyAlignment="1" applyFont="1" applyNumberForma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/>
    </xf>
    <xf borderId="2" fillId="0" fontId="1" numFmtId="164" xfId="0" applyBorder="1" applyFont="1" applyNumberFormat="1"/>
    <xf borderId="2" fillId="3" fontId="2" numFmtId="0" xfId="0" applyBorder="1" applyFill="1" applyFont="1"/>
    <xf borderId="2" fillId="0" fontId="12" numFmtId="0" xfId="0" applyAlignment="1" applyBorder="1" applyFont="1">
      <alignment readingOrder="0"/>
    </xf>
    <xf borderId="2" fillId="0" fontId="12" numFmtId="3" xfId="0" applyBorder="1" applyFont="1" applyNumberFormat="1"/>
    <xf borderId="2" fillId="0" fontId="13" numFmtId="0" xfId="0" applyAlignment="1" applyBorder="1" applyFont="1">
      <alignment horizontal="center"/>
    </xf>
    <xf borderId="2" fillId="0" fontId="13" numFmtId="0" xfId="0" applyAlignment="1" applyBorder="1" applyFont="1">
      <alignment readingOrder="0"/>
    </xf>
    <xf borderId="2" fillId="0" fontId="13" numFmtId="3" xfId="0" applyAlignment="1" applyBorder="1" applyFont="1" applyNumberFormat="1">
      <alignment readingOrder="0"/>
    </xf>
    <xf borderId="2" fillId="0" fontId="13" numFmtId="3" xfId="0" applyBorder="1" applyFont="1" applyNumberFormat="1"/>
    <xf borderId="2" fillId="0" fontId="13" numFmtId="0" xfId="0" applyBorder="1" applyFont="1"/>
    <xf borderId="0" fillId="0" fontId="13" numFmtId="0" xfId="0" applyFont="1"/>
    <xf borderId="2" fillId="5" fontId="2" numFmtId="0" xfId="0" applyAlignment="1" applyBorder="1" applyFill="1" applyFont="1">
      <alignment horizontal="center" readingOrder="0"/>
    </xf>
    <xf borderId="2" fillId="0" fontId="2" numFmtId="0" xfId="0" applyBorder="1" applyFont="1"/>
    <xf borderId="2" fillId="0" fontId="2" numFmtId="3" xfId="0" applyBorder="1" applyFont="1" applyNumberFormat="1"/>
    <xf borderId="0" fillId="0" fontId="1" numFmtId="0" xfId="0" applyAlignment="1" applyFont="1">
      <alignment readingOrder="0" shrinkToFit="0" wrapText="1"/>
    </xf>
    <xf borderId="2" fillId="6" fontId="2" numFmtId="0" xfId="0" applyAlignment="1" applyBorder="1" applyFill="1" applyFont="1">
      <alignment readingOrder="0"/>
    </xf>
    <xf borderId="2" fillId="6" fontId="2" numFmtId="0" xfId="0" applyAlignment="1" applyBorder="1" applyFill="1" applyFont="1">
      <alignment readingOrder="0" shrinkToFit="0" wrapText="1"/>
    </xf>
    <xf borderId="2" fillId="6" fontId="2" numFmtId="0" xfId="0" applyBorder="1" applyFill="1" applyFont="1"/>
    <xf borderId="2" fillId="6" fontId="2" numFmtId="3" xfId="0" applyBorder="1" applyFill="1" applyFont="1" applyNumberFormat="1"/>
    <xf borderId="2" fillId="6" fontId="1" numFmtId="0" xfId="0" applyBorder="1" applyFill="1" applyFont="1"/>
    <xf borderId="0" fillId="0" fontId="1" numFmtId="164" xfId="0" applyFont="1" applyNumberFormat="1"/>
    <xf borderId="0" fillId="2" fontId="14" numFmtId="0" xfId="0" applyAlignment="1" applyFill="1" applyFont="1">
      <alignment horizontal="left" readingOrder="0" shrinkToFit="0" vertical="center" wrapText="0"/>
    </xf>
    <xf borderId="0" fillId="2" fontId="14" numFmtId="0" xfId="0" applyAlignment="1" applyFill="1" applyFont="1">
      <alignment horizontal="center" readingOrder="0" shrinkToFit="0" vertical="center" wrapText="1"/>
    </xf>
    <xf borderId="2" fillId="3" fontId="14" numFmtId="0" xfId="0" applyAlignment="1" applyBorder="1" applyFill="1" applyFont="1">
      <alignment horizontal="center" readingOrder="0" shrinkToFit="0" vertical="center" wrapText="1"/>
    </xf>
    <xf borderId="2" fillId="2" fontId="14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vertical="center"/>
    </xf>
    <xf borderId="2" fillId="2" fontId="1" numFmtId="0" xfId="0" applyAlignment="1" applyBorder="1" applyFill="1" applyFont="1">
      <alignment readingOrder="0" shrinkToFit="0" vertical="center" wrapText="1"/>
    </xf>
    <xf borderId="2" fillId="2" fontId="1" numFmtId="3" xfId="0" applyAlignment="1" applyBorder="1" applyFill="1" applyFont="1" applyNumberFormat="1">
      <alignment readingOrder="0"/>
    </xf>
    <xf borderId="2" fillId="2" fontId="1" numFmtId="3" xfId="0" applyBorder="1" applyFill="1" applyFont="1" applyNumberFormat="1"/>
    <xf borderId="2" fillId="2" fontId="1" numFmtId="0" xfId="0" applyBorder="1" applyFill="1" applyFont="1"/>
    <xf borderId="2" fillId="2" fontId="1" numFmtId="0" xfId="0" applyAlignment="1" applyBorder="1" applyFill="1" applyFont="1">
      <alignment readingOrder="0" shrinkToFit="0" wrapText="1"/>
    </xf>
    <xf borderId="0" fillId="2" fontId="5" numFmtId="0" xfId="0" applyAlignment="1" applyFill="1" applyFont="1">
      <alignment horizontal="left" readingOrder="0" shrinkToFit="0" vertical="center" wrapText="0"/>
    </xf>
    <xf borderId="0" fillId="2" fontId="5" numFmtId="0" xfId="0" applyAlignment="1" applyFill="1" applyFont="1">
      <alignment horizontal="center" readingOrder="0" shrinkToFit="0" vertical="center" wrapText="1"/>
    </xf>
    <xf borderId="0" fillId="2" fontId="12" numFmtId="0" xfId="0" applyFill="1" applyFont="1"/>
    <xf borderId="0" fillId="2" fontId="15" numFmtId="3" xfId="0" applyFill="1" applyFont="1" applyNumberFormat="1"/>
    <xf borderId="0" fillId="2" fontId="15" numFmtId="0" xfId="0" applyFill="1" applyFont="1"/>
    <xf borderId="0" fillId="2" fontId="12" numFmtId="164" xfId="0" applyFill="1" applyFont="1" applyNumberFormat="1"/>
    <xf borderId="2" fillId="7" fontId="14" numFmtId="0" xfId="0" applyAlignment="1" applyBorder="1" applyFill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readingOrder="0" vertical="center"/>
    </xf>
    <xf borderId="2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readingOrder="0" vertical="center"/>
    </xf>
    <xf borderId="2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left" readingOrder="0" vertical="center"/>
    </xf>
    <xf borderId="2" fillId="3" fontId="4" numFmtId="0" xfId="0" applyAlignment="1" applyBorder="1" applyFill="1" applyFont="1">
      <alignment horizontal="left" vertical="center"/>
    </xf>
    <xf borderId="2" fillId="3" fontId="3" numFmtId="164" xfId="0" applyAlignment="1" applyBorder="1" applyFill="1" applyFont="1" applyNumberFormat="1">
      <alignment horizontal="left" vertical="center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readingOrder="0" vertical="center"/>
    </xf>
    <xf borderId="0" fillId="0" fontId="16" numFmtId="0" xfId="0" applyAlignment="1" applyFont="1">
      <alignment horizontal="left" readingOrder="0" shrinkToFit="0" wrapText="0"/>
    </xf>
    <xf borderId="0" fillId="0" fontId="16" numFmtId="0" xfId="0" applyAlignment="1" applyFont="1">
      <alignment horizontal="center" readingOrder="0" shrinkToFit="0" wrapText="0"/>
    </xf>
    <xf borderId="0" fillId="0" fontId="16" numFmtId="0" xfId="0" applyAlignment="1" applyFont="1">
      <alignment horizontal="center" shrinkToFit="0" wrapText="0"/>
    </xf>
    <xf borderId="2" fillId="0" fontId="17" numFmtId="0" xfId="0" applyAlignment="1" applyBorder="1" applyFont="1">
      <alignment horizontal="center" readingOrder="0" shrinkToFit="0" wrapText="0"/>
    </xf>
    <xf borderId="2" fillId="0" fontId="17" numFmtId="0" xfId="0" applyAlignment="1" applyBorder="1" applyFont="1">
      <alignment horizontal="center" readingOrder="0"/>
    </xf>
    <xf borderId="2" fillId="0" fontId="17" numFmtId="0" xfId="0" applyAlignment="1" applyBorder="1" applyFont="1">
      <alignment horizontal="left" readingOrder="0"/>
    </xf>
    <xf borderId="2" fillId="0" fontId="17" numFmtId="0" xfId="0" applyAlignment="1" applyBorder="1" applyFont="1">
      <alignment horizontal="left" readingOrder="0" shrinkToFit="0" wrapText="0"/>
    </xf>
    <xf borderId="2" fillId="3" fontId="18" numFmtId="0" xfId="0" applyAlignment="1" applyBorder="1" applyFill="1" applyFont="1">
      <alignment horizontal="center" readingOrder="0"/>
    </xf>
    <xf borderId="5" fillId="0" fontId="19" numFmtId="0" xfId="0" applyAlignment="1" applyBorder="1" applyFont="1">
      <alignment horizontal="left" readingOrder="0" shrinkToFit="0" wrapText="0"/>
    </xf>
    <xf borderId="6" fillId="0" fontId="19" numFmtId="0" xfId="0" applyAlignment="1" applyBorder="1" applyFont="1">
      <alignment horizontal="left" readingOrder="0" shrinkToFit="0" wrapText="0"/>
    </xf>
    <xf borderId="7" fillId="0" fontId="19" numFmtId="0" xfId="0" applyAlignment="1" applyBorder="1" applyFont="1">
      <alignment horizontal="left" readingOrder="0" shrinkToFit="0" wrapText="0"/>
    </xf>
    <xf borderId="2" fillId="0" fontId="20" numFmtId="0" xfId="0" applyAlignment="1" applyBorder="1" applyFont="1">
      <alignment horizontal="center" readingOrder="0"/>
    </xf>
    <xf borderId="2" fillId="0" fontId="20" numFmtId="0" xfId="0" applyAlignment="1" applyBorder="1" applyFont="1">
      <alignment horizontal="left" readingOrder="0" shrinkToFit="0" wrapText="1"/>
    </xf>
    <xf borderId="2" fillId="0" fontId="20" numFmtId="167" xfId="0" applyAlignment="1" applyBorder="1" applyFont="1" applyNumberFormat="1">
      <alignment horizontal="center" readingOrder="0"/>
    </xf>
    <xf borderId="2" fillId="0" fontId="17" numFmtId="0" xfId="0" applyBorder="1" applyFont="1"/>
    <xf borderId="2" fillId="0" fontId="17" numFmtId="0" xfId="0" applyAlignment="1" applyBorder="1" applyFont="1">
      <alignment vertical="top"/>
    </xf>
    <xf borderId="2" fillId="2" fontId="20" numFmtId="0" xfId="0" applyAlignment="1" applyBorder="1" applyFill="1" applyFont="1">
      <alignment horizontal="center" readingOrder="0"/>
    </xf>
    <xf borderId="2" fillId="2" fontId="20" numFmtId="0" xfId="0" applyAlignment="1" applyBorder="1" applyFill="1" applyFont="1">
      <alignment horizontal="left" readingOrder="0" shrinkToFit="0" wrapText="1"/>
    </xf>
    <xf borderId="2" fillId="2" fontId="20" numFmtId="167" xfId="0" applyAlignment="1" applyBorder="1" applyFill="1" applyFont="1" applyNumberFormat="1">
      <alignment horizontal="center" readingOrder="0"/>
    </xf>
    <xf borderId="2" fillId="2" fontId="17" numFmtId="0" xfId="0" applyAlignment="1" applyBorder="1" applyFill="1" applyFont="1">
      <alignment horizontal="left" readingOrder="0"/>
    </xf>
    <xf borderId="2" fillId="2" fontId="20" numFmtId="0" xfId="0" applyAlignment="1" applyBorder="1" applyFill="1" applyFont="1">
      <alignment horizontal="left" readingOrder="0" shrinkToFit="0" wrapText="0"/>
    </xf>
    <xf quotePrefix="1" borderId="2" fillId="0" fontId="1" numFmtId="0" xfId="0" applyAlignment="1" applyBorder="1" applyFont="1">
      <alignment readingOrder="0"/>
    </xf>
    <xf borderId="2" fillId="2" fontId="20" numFmtId="0" xfId="0" applyAlignment="1" applyBorder="1" applyFill="1" applyFont="1">
      <alignment horizontal="left" readingOrder="0"/>
    </xf>
    <xf borderId="2" fillId="2" fontId="17" numFmtId="0" xfId="0" applyBorder="1" applyFill="1" applyFont="1"/>
    <xf borderId="2" fillId="2" fontId="20" numFmtId="0" xfId="0" applyBorder="1" applyFill="1" applyFont="1"/>
    <xf borderId="0" fillId="0" fontId="20" numFmtId="0" xfId="0" applyAlignment="1" applyFont="1">
      <alignment shrinkToFit="0" wrapText="0"/>
    </xf>
    <xf borderId="5" fillId="2" fontId="21" numFmtId="0" xfId="0" applyAlignment="1" applyBorder="1" applyFill="1" applyFont="1">
      <alignment horizontal="left" readingOrder="0"/>
    </xf>
    <xf borderId="6" fillId="2" fontId="21" numFmtId="0" xfId="0" applyAlignment="1" applyBorder="1" applyFill="1" applyFont="1">
      <alignment horizontal="left" readingOrder="0"/>
    </xf>
    <xf borderId="0" fillId="2" fontId="21" numFmtId="0" xfId="0" applyAlignment="1" applyFill="1" applyFont="1">
      <alignment horizontal="left" readingOrder="0"/>
    </xf>
    <xf borderId="5" fillId="2" fontId="19" numFmtId="0" xfId="0" applyAlignment="1" applyBorder="1" applyFill="1" applyFont="1">
      <alignment horizontal="left" readingOrder="0"/>
    </xf>
    <xf borderId="6" fillId="2" fontId="19" numFmtId="0" xfId="0" applyAlignment="1" applyBorder="1" applyFill="1" applyFont="1">
      <alignment horizontal="left" readingOrder="0"/>
    </xf>
    <xf borderId="7" fillId="2" fontId="19" numFmtId="0" xfId="0" applyAlignment="1" applyBorder="1" applyFill="1" applyFont="1">
      <alignment horizontal="left" readingOrder="0"/>
    </xf>
    <xf borderId="2" fillId="2" fontId="22" numFmtId="167" xfId="0" applyAlignment="1" applyBorder="1" applyFill="1" applyFont="1" applyNumberFormat="1">
      <alignment horizontal="center" readingOrder="0"/>
    </xf>
    <xf borderId="2" fillId="0" fontId="20" numFmtId="0" xfId="0" applyAlignment="1" applyBorder="1" applyFont="1">
      <alignment horizontal="left" readingOrder="0"/>
    </xf>
    <xf borderId="2" fillId="0" fontId="20" numFmtId="0" xfId="0" applyBorder="1" applyFont="1"/>
    <xf borderId="5" fillId="0" fontId="19" numFmtId="0" xfId="0" applyAlignment="1" applyBorder="1" applyFont="1">
      <alignment horizontal="left" readingOrder="0"/>
    </xf>
    <xf borderId="6" fillId="0" fontId="19" numFmtId="0" xfId="0" applyAlignment="1" applyBorder="1" applyFont="1">
      <alignment horizontal="left" readingOrder="0"/>
    </xf>
    <xf borderId="7" fillId="0" fontId="19" numFmtId="0" xfId="0" applyAlignment="1" applyBorder="1" applyFont="1">
      <alignment horizontal="left" readingOrder="0"/>
    </xf>
    <xf borderId="2" fillId="0" fontId="22" numFmtId="0" xfId="0" applyAlignment="1" applyBorder="1" applyFont="1">
      <alignment horizontal="left" readingOrder="0" shrinkToFit="0" wrapText="1"/>
    </xf>
    <xf borderId="2" fillId="0" fontId="22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2" fillId="0" fontId="20" numFmtId="0" xfId="0" applyAlignment="1" applyBorder="1" applyFont="1">
      <alignment horizontal="left" readingOrder="0" shrinkToFit="0" wrapText="0"/>
    </xf>
    <xf borderId="2" fillId="0" fontId="20" numFmtId="0" xfId="0" applyAlignment="1" applyBorder="1" applyFont="1">
      <alignment shrinkToFit="0" wrapText="0"/>
    </xf>
    <xf borderId="2" fillId="3" fontId="20" numFmtId="0" xfId="0" applyAlignment="1" applyBorder="1" applyFill="1" applyFont="1">
      <alignment horizontal="left" readingOrder="0" shrinkToFit="0" wrapText="0"/>
    </xf>
    <xf borderId="2" fillId="0" fontId="20" numFmtId="0" xfId="0" applyAlignment="1" applyBorder="1" applyFont="1">
      <alignment readingOrder="0" shrinkToFit="0" wrapText="0"/>
    </xf>
    <xf borderId="8" fillId="0" fontId="20" numFmtId="0" xfId="0" applyAlignment="1" applyBorder="1" applyFont="1">
      <alignment horizontal="left" readingOrder="0"/>
    </xf>
    <xf borderId="8" fillId="0" fontId="20" numFmtId="167" xfId="0" applyAlignment="1" applyBorder="1" applyFont="1" applyNumberFormat="1">
      <alignment horizontal="center" readingOrder="0"/>
    </xf>
    <xf borderId="8" fillId="0" fontId="17" numFmtId="0" xfId="0" applyAlignment="1" applyBorder="1" applyFont="1">
      <alignment horizontal="left" readingOrder="0"/>
    </xf>
    <xf borderId="8" fillId="0" fontId="20" numFmtId="0" xfId="0" applyAlignment="1" applyBorder="1" applyFont="1">
      <alignment shrinkToFit="0" wrapText="0"/>
    </xf>
    <xf borderId="9" fillId="0" fontId="23" numFmtId="0" xfId="0" applyAlignment="1" applyBorder="1" applyFont="1">
      <alignment horizontal="left" readingOrder="0" shrinkToFit="0" wrapText="0"/>
    </xf>
    <xf borderId="9" fillId="0" fontId="23" numFmtId="0" xfId="0" applyAlignment="1" applyBorder="1" applyFont="1">
      <alignment shrinkToFit="0" wrapText="0"/>
    </xf>
    <xf borderId="9" fillId="0" fontId="23" numFmtId="0" xfId="0" applyAlignment="1" applyBorder="1" applyFont="1">
      <alignment readingOrder="0"/>
    </xf>
    <xf borderId="10" fillId="0" fontId="24" numFmtId="0" xfId="0" applyAlignment="1" applyBorder="1" applyFont="1">
      <alignment horizontal="left" readingOrder="0" shrinkToFit="0" wrapText="0"/>
    </xf>
    <xf borderId="9" fillId="0" fontId="24" numFmtId="0" xfId="0" applyAlignment="1" applyBorder="1" applyFont="1">
      <alignment horizontal="left" readingOrder="0" shrinkToFit="0" wrapText="0"/>
    </xf>
    <xf borderId="9" fillId="0" fontId="23" numFmtId="0" xfId="0" applyBorder="1" applyFont="1"/>
    <xf borderId="10" fillId="0" fontId="20" numFmtId="0" xfId="0" applyAlignment="1" applyBorder="1" applyFont="1">
      <alignment horizontal="center" readingOrder="0" shrinkToFit="0" wrapText="0"/>
    </xf>
    <xf borderId="9" fillId="0" fontId="20" numFmtId="0" xfId="0" applyAlignment="1" applyBorder="1" applyFont="1">
      <alignment horizontal="left" readingOrder="0"/>
    </xf>
    <xf borderId="9" fillId="0" fontId="20" numFmtId="167" xfId="0" applyAlignment="1" applyBorder="1" applyFont="1" applyNumberFormat="1">
      <alignment horizontal="center" readingOrder="0"/>
    </xf>
    <xf borderId="9" fillId="0" fontId="20" numFmtId="0" xfId="0" applyAlignment="1" applyBorder="1" applyFont="1">
      <alignment horizontal="left" readingOrder="0" shrinkToFit="0" wrapText="0"/>
    </xf>
    <xf borderId="10" fillId="0" fontId="20" numFmtId="0" xfId="0" applyAlignment="1" applyBorder="1" applyFont="1">
      <alignment horizontal="left" readingOrder="0"/>
    </xf>
    <xf borderId="9" fillId="0" fontId="20" numFmtId="0" xfId="0" applyAlignment="1" applyBorder="1" applyFont="1">
      <alignment horizontal="center"/>
    </xf>
    <xf borderId="9" fillId="0" fontId="20" numFmtId="0" xfId="0" applyAlignment="1" applyBorder="1" applyFont="1">
      <alignment horizontal="center" readingOrder="0"/>
    </xf>
    <xf borderId="9" fillId="0" fontId="20" numFmtId="0" xfId="0" applyAlignment="1" applyBorder="1" applyFont="1">
      <alignment shrinkToFit="0" wrapText="0"/>
    </xf>
    <xf borderId="9" fillId="0" fontId="20" numFmtId="0" xfId="0" applyAlignment="1" applyBorder="1" applyFont="1">
      <alignment readingOrder="0" shrinkToFit="0" wrapText="0"/>
    </xf>
    <xf borderId="10" fillId="0" fontId="24" numFmtId="0" xfId="0" applyAlignment="1" applyBorder="1" applyFont="1">
      <alignment horizontal="left" readingOrder="0"/>
    </xf>
    <xf borderId="9" fillId="0" fontId="24" numFmtId="0" xfId="0" applyAlignment="1" applyBorder="1" applyFont="1">
      <alignment horizontal="left" readingOrder="0"/>
    </xf>
    <xf borderId="9" fillId="0" fontId="22" numFmtId="0" xfId="0" applyAlignment="1" applyBorder="1" applyFont="1">
      <alignment horizontal="center"/>
    </xf>
    <xf borderId="11" fillId="0" fontId="20" numFmtId="0" xfId="0" applyAlignment="1" applyBorder="1" applyFont="1">
      <alignment horizontal="center" readingOrder="0" shrinkToFit="0" wrapText="0"/>
    </xf>
    <xf borderId="8" fillId="0" fontId="20" numFmtId="0" xfId="0" applyAlignment="1" applyBorder="1" applyFont="1">
      <alignment horizontal="left" readingOrder="0" shrinkToFit="0" wrapText="0"/>
    </xf>
    <xf borderId="8" fillId="0" fontId="20" numFmtId="0" xfId="0" applyAlignment="1" applyBorder="1" applyFont="1">
      <alignment horizontal="center" readingOrder="0" shrinkToFit="0" wrapText="0"/>
    </xf>
    <xf borderId="0" fillId="8" fontId="25" numFmtId="0" xfId="0" applyAlignment="1" applyFill="1" applyFont="1">
      <alignment horizontal="center" readingOrder="0" vertical="center"/>
    </xf>
    <xf borderId="0" fillId="8" fontId="26" numFmtId="0" xfId="0" applyAlignment="1" applyFill="1" applyFont="1">
      <alignment horizontal="center" readingOrder="0" vertical="center"/>
    </xf>
    <xf borderId="12" fillId="9" fontId="27" numFmtId="0" xfId="0" applyAlignment="1" applyBorder="1" applyFill="1" applyFont="1">
      <alignment horizontal="center" readingOrder="0" vertical="center"/>
    </xf>
    <xf borderId="13" fillId="9" fontId="27" numFmtId="0" xfId="0" applyAlignment="1" applyBorder="1" applyFill="1" applyFont="1">
      <alignment horizontal="center" readingOrder="0" vertical="center"/>
    </xf>
    <xf borderId="14" fillId="9" fontId="27" numFmtId="0" xfId="0" applyAlignment="1" applyBorder="1" applyFill="1" applyFont="1">
      <alignment horizontal="center" readingOrder="0" vertical="center"/>
    </xf>
    <xf borderId="15" fillId="9" fontId="27" numFmtId="0" xfId="0" applyAlignment="1" applyBorder="1" applyFill="1" applyFont="1">
      <alignment horizontal="center" readingOrder="0" vertical="center"/>
    </xf>
    <xf borderId="16" fillId="10" fontId="28" numFmtId="0" xfId="0" applyAlignment="1" applyBorder="1" applyFill="1" applyFont="1">
      <alignment horizontal="center" readingOrder="0" shrinkToFit="0" vertical="center" wrapText="1"/>
    </xf>
    <xf borderId="17" fillId="10" fontId="28" numFmtId="0" xfId="0" applyAlignment="1" applyBorder="1" applyFill="1" applyFont="1">
      <alignment horizontal="center" readingOrder="0" shrinkToFit="0" vertical="center" wrapText="1"/>
    </xf>
    <xf borderId="18" fillId="10" fontId="28" numFmtId="0" xfId="0" applyAlignment="1" applyBorder="1" applyFill="1" applyFont="1">
      <alignment horizontal="center" readingOrder="0" vertical="center"/>
    </xf>
    <xf borderId="17" fillId="10" fontId="28" numFmtId="0" xfId="0" applyAlignment="1" applyBorder="1" applyFill="1" applyFont="1">
      <alignment horizontal="center" readingOrder="0" vertical="center"/>
    </xf>
    <xf borderId="19" fillId="11" fontId="29" numFmtId="0" xfId="0" applyAlignment="1" applyBorder="1" applyFill="1" applyFont="1">
      <alignment horizontal="center" vertical="center"/>
    </xf>
    <xf borderId="20" fillId="12" fontId="30" numFmtId="0" xfId="0" applyAlignment="1" applyBorder="1" applyFill="1" applyFont="1">
      <alignment horizontal="center" readingOrder="0" shrinkToFit="0" vertical="center" wrapText="1"/>
    </xf>
    <xf borderId="21" fillId="12" fontId="30" numFmtId="0" xfId="0" applyAlignment="1" applyBorder="1" applyFill="1" applyFont="1">
      <alignment horizontal="center" readingOrder="0" shrinkToFit="0" vertical="center" wrapText="1"/>
    </xf>
    <xf borderId="22" fillId="12" fontId="30" numFmtId="0" xfId="0" applyAlignment="1" applyBorder="1" applyFill="1" applyFont="1">
      <alignment horizontal="center" readingOrder="0" shrinkToFit="0" vertical="center" wrapText="1"/>
    </xf>
    <xf borderId="23" fillId="2" fontId="31" numFmtId="0" xfId="0" applyAlignment="1" applyBorder="1" applyFill="1" applyFont="1">
      <alignment horizontal="center" readingOrder="0" shrinkToFit="0" vertical="top" wrapText="1"/>
    </xf>
    <xf borderId="24" fillId="2" fontId="31" numFmtId="0" xfId="0" applyAlignment="1" applyBorder="1" applyFill="1" applyFont="1">
      <alignment horizontal="center" readingOrder="0" shrinkToFit="0" vertical="top" wrapText="1"/>
    </xf>
    <xf borderId="24" fillId="2" fontId="32" numFmtId="0" xfId="0" applyAlignment="1" applyBorder="1" applyFill="1" applyFont="1">
      <alignment readingOrder="0" shrinkToFit="0" vertical="top" wrapText="1"/>
    </xf>
    <xf borderId="24" fillId="2" fontId="31" numFmtId="0" xfId="0" applyAlignment="1" applyBorder="1" applyFill="1" applyFont="1">
      <alignment readingOrder="0" shrinkToFit="0" vertical="top" wrapText="1"/>
    </xf>
    <xf quotePrefix="1" borderId="24" fillId="2" fontId="31" numFmtId="0" xfId="0" applyAlignment="1" applyBorder="1" applyFill="1" applyFont="1">
      <alignment readingOrder="0" shrinkToFit="0" vertical="top" wrapText="1"/>
    </xf>
    <xf borderId="25" fillId="2" fontId="31" numFmtId="0" xfId="0" applyAlignment="1" applyBorder="1" applyFill="1" applyFont="1">
      <alignment readingOrder="0" shrinkToFit="0" vertical="top" wrapText="1"/>
    </xf>
    <xf borderId="24" fillId="2" fontId="31" numFmtId="166" xfId="0" applyAlignment="1" applyBorder="1" applyFill="1" applyFont="1" applyNumberFormat="1">
      <alignment horizontal="center" readingOrder="0" shrinkToFit="0" vertical="top" wrapText="1"/>
    </xf>
    <xf borderId="26" fillId="2" fontId="31" numFmtId="0" xfId="0" applyAlignment="1" applyBorder="1" applyFill="1" applyFont="1">
      <alignment horizontal="center" readingOrder="0" shrinkToFit="0" vertical="top" wrapText="1"/>
    </xf>
    <xf borderId="27" fillId="2" fontId="31" numFmtId="0" xfId="0" applyAlignment="1" applyBorder="1" applyFill="1" applyFont="1">
      <alignment horizontal="center" readingOrder="0" shrinkToFit="0" vertical="top" wrapText="1"/>
    </xf>
    <xf borderId="27" fillId="2" fontId="32" numFmtId="0" xfId="0" applyAlignment="1" applyBorder="1" applyFill="1" applyFont="1">
      <alignment readingOrder="0" shrinkToFit="0" vertical="top" wrapText="1"/>
    </xf>
    <xf borderId="27" fillId="2" fontId="31" numFmtId="0" xfId="0" applyAlignment="1" applyBorder="1" applyFill="1" applyFont="1">
      <alignment readingOrder="0" shrinkToFit="0" vertical="top" wrapText="1"/>
    </xf>
    <xf quotePrefix="1" borderId="27" fillId="2" fontId="31" numFmtId="0" xfId="0" applyAlignment="1" applyBorder="1" applyFill="1" applyFont="1">
      <alignment readingOrder="0" shrinkToFit="0" vertical="top" wrapText="1"/>
    </xf>
    <xf borderId="28" fillId="2" fontId="31" numFmtId="0" xfId="0" applyAlignment="1" applyBorder="1" applyFill="1" applyFont="1">
      <alignment readingOrder="0" shrinkToFit="0" vertical="top" wrapText="1"/>
    </xf>
    <xf borderId="26" fillId="13" fontId="31" numFmtId="0" xfId="0" applyAlignment="1" applyBorder="1" applyFill="1" applyFont="1">
      <alignment horizontal="center" readingOrder="0" shrinkToFit="0" vertical="top" wrapText="1"/>
    </xf>
    <xf borderId="27" fillId="13" fontId="31" numFmtId="166" xfId="0" applyAlignment="1" applyBorder="1" applyFill="1" applyFont="1" applyNumberFormat="1">
      <alignment horizontal="center" readingOrder="0" shrinkToFit="0" vertical="top" wrapText="1"/>
    </xf>
    <xf borderId="27" fillId="13" fontId="32" numFmtId="0" xfId="0" applyAlignment="1" applyBorder="1" applyFill="1" applyFont="1">
      <alignment readingOrder="0" shrinkToFit="0" vertical="top" wrapText="1"/>
    </xf>
    <xf borderId="27" fillId="13" fontId="31" numFmtId="0" xfId="0" applyAlignment="1" applyBorder="1" applyFill="1" applyFont="1">
      <alignment readingOrder="0" shrinkToFit="0" vertical="top" wrapText="1"/>
    </xf>
    <xf quotePrefix="1" borderId="27" fillId="13" fontId="31" numFmtId="0" xfId="0" applyAlignment="1" applyBorder="1" applyFill="1" applyFont="1">
      <alignment readingOrder="0" shrinkToFit="0" vertical="top" wrapText="1"/>
    </xf>
    <xf borderId="28" fillId="13" fontId="31" numFmtId="0" xfId="0" applyAlignment="1" applyBorder="1" applyFill="1" applyFont="1">
      <alignment readingOrder="0" shrinkToFit="0" vertical="top" wrapText="1"/>
    </xf>
    <xf borderId="27" fillId="13" fontId="31" numFmtId="0" xfId="0" applyAlignment="1" applyBorder="1" applyFill="1" applyFont="1">
      <alignment horizontal="center" readingOrder="0" shrinkToFit="0" vertical="top" wrapText="1"/>
    </xf>
    <xf borderId="27" fillId="2" fontId="31" numFmtId="166" xfId="0" applyAlignment="1" applyBorder="1" applyFill="1" applyFont="1" applyNumberFormat="1">
      <alignment horizontal="center" readingOrder="0" shrinkToFit="0" vertical="top" wrapText="1"/>
    </xf>
    <xf borderId="29" fillId="14" fontId="33" numFmtId="0" xfId="0" applyAlignment="1" applyBorder="1" applyFill="1" applyFont="1">
      <alignment horizontal="center" readingOrder="0" shrinkToFit="0" vertical="center" wrapText="1"/>
    </xf>
    <xf borderId="30" fillId="14" fontId="33" numFmtId="0" xfId="0" applyAlignment="1" applyBorder="1" applyFill="1" applyFont="1">
      <alignment horizontal="center" readingOrder="0" shrinkToFit="0" vertical="center" wrapText="1"/>
    </xf>
    <xf borderId="30" fillId="14" fontId="33" numFmtId="0" xfId="0" applyAlignment="1" applyBorder="1" applyFill="1" applyFont="1">
      <alignment readingOrder="0" shrinkToFit="0" vertical="center" wrapText="1"/>
    </xf>
    <xf borderId="31" fillId="14" fontId="33" numFmtId="0" xfId="0" applyAlignment="1" applyBorder="1" applyFill="1" applyFont="1">
      <alignment readingOrder="0" shrinkToFit="0" vertical="center" wrapText="1"/>
    </xf>
    <xf borderId="2" fillId="15" fontId="34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35" numFmtId="0" xfId="0" applyAlignment="1" applyBorder="1" applyFont="1">
      <alignment horizontal="center" readingOrder="0" vertical="bottom"/>
    </xf>
    <xf quotePrefix="1" borderId="2" fillId="0" fontId="36" numFmtId="0" xfId="0" applyAlignment="1" applyBorder="1" applyFont="1">
      <alignment horizontal="center" readingOrder="0" vertical="bottom"/>
    </xf>
    <xf borderId="2" fillId="0" fontId="36" numFmtId="0" xfId="0" applyAlignment="1" applyBorder="1" applyFont="1">
      <alignment readingOrder="0" vertical="bottom"/>
    </xf>
    <xf borderId="2" fillId="0" fontId="36" numFmtId="165" xfId="0" applyAlignment="1" applyBorder="1" applyFont="1" applyNumberFormat="1">
      <alignment horizontal="center" readingOrder="0" shrinkToFit="0" vertical="bottom" wrapText="0"/>
    </xf>
    <xf borderId="2" fillId="0" fontId="36" numFmtId="0" xfId="0" applyAlignment="1" applyBorder="1" applyFont="1">
      <alignment horizontal="center" readingOrder="0" vertical="bottom"/>
    </xf>
    <xf borderId="2" fillId="0" fontId="36" numFmtId="165" xfId="0" applyAlignment="1" applyBorder="1" applyFont="1" applyNumberFormat="1">
      <alignment horizontal="center" readingOrder="0" vertical="bottom"/>
    </xf>
    <xf borderId="2" fillId="2" fontId="36" numFmtId="165" xfId="0" applyAlignment="1" applyBorder="1" applyFill="1" applyFont="1" applyNumberFormat="1">
      <alignment horizontal="center" readingOrder="0" vertical="bottom"/>
    </xf>
    <xf borderId="2" fillId="16" fontId="36" numFmtId="0" xfId="0" applyAlignment="1" applyBorder="1" applyFill="1" applyFont="1">
      <alignment readingOrder="0" vertical="bottom"/>
    </xf>
    <xf borderId="2" fillId="2" fontId="36" numFmtId="0" xfId="0" applyAlignment="1" applyBorder="1" applyFill="1" applyFont="1">
      <alignment horizontal="center" readingOrder="0" vertical="bottom"/>
    </xf>
    <xf borderId="2" fillId="2" fontId="36" numFmtId="0" xfId="0" applyAlignment="1" applyBorder="1" applyFill="1" applyFont="1">
      <alignment readingOrder="0" vertical="bottom"/>
    </xf>
    <xf borderId="2" fillId="0" fontId="36" numFmtId="168" xfId="0" applyAlignment="1" applyBorder="1" applyFont="1" applyNumberFormat="1">
      <alignment horizontal="center" readingOrder="0" vertical="bottom"/>
    </xf>
    <xf borderId="2" fillId="0" fontId="36" numFmtId="169" xfId="0" applyAlignment="1" applyBorder="1" applyFont="1" applyNumberFormat="1">
      <alignment horizontal="center" readingOrder="0" vertical="bottom"/>
    </xf>
    <xf borderId="2" fillId="0" fontId="36" numFmtId="168" xfId="0" applyAlignment="1" applyBorder="1" applyFont="1" applyNumberFormat="1">
      <alignment horizontal="center" readingOrder="0" shrinkToFit="0" vertical="bottom" wrapText="0"/>
    </xf>
    <xf borderId="2" fillId="0" fontId="36" numFmtId="0" xfId="0" applyAlignment="1" applyBorder="1" applyFont="1">
      <alignment horizontal="left" readingOrder="0" vertical="bottom"/>
    </xf>
    <xf borderId="2" fillId="2" fontId="36" numFmtId="168" xfId="0" applyAlignment="1" applyBorder="1" applyFill="1" applyFont="1" applyNumberFormat="1">
      <alignment horizontal="center" readingOrder="0" vertical="bottom"/>
    </xf>
    <xf borderId="2" fillId="3" fontId="35" numFmtId="0" xfId="0" applyAlignment="1" applyBorder="1" applyFill="1" applyFont="1">
      <alignment horizontal="center" readingOrder="0" vertical="bottom"/>
    </xf>
    <xf borderId="2" fillId="3" fontId="36" numFmtId="169" xfId="0" applyAlignment="1" applyBorder="1" applyFill="1" applyFont="1" applyNumberFormat="1">
      <alignment horizontal="center" readingOrder="0" vertical="bottom"/>
    </xf>
    <xf borderId="2" fillId="3" fontId="36" numFmtId="0" xfId="0" applyAlignment="1" applyBorder="1" applyFill="1" applyFont="1">
      <alignment readingOrder="0" vertical="bottom"/>
    </xf>
    <xf borderId="2" fillId="3" fontId="36" numFmtId="168" xfId="0" applyAlignment="1" applyBorder="1" applyFill="1" applyFont="1" applyNumberFormat="1">
      <alignment horizontal="center" readingOrder="0" vertical="bottom"/>
    </xf>
    <xf borderId="2" fillId="3" fontId="36" numFmtId="0" xfId="0" applyAlignment="1" applyBorder="1" applyFill="1" applyFont="1">
      <alignment horizontal="center" readingOrder="0" vertical="bottom"/>
    </xf>
    <xf borderId="2" fillId="3" fontId="36" numFmtId="165" xfId="0" applyAlignment="1" applyBorder="1" applyFill="1" applyFont="1" applyNumberFormat="1">
      <alignment horizontal="center" readingOrder="0" vertical="bottom"/>
    </xf>
    <xf borderId="2" fillId="3" fontId="1" numFmtId="0" xfId="0" applyAlignment="1" applyBorder="1" applyFill="1" applyFont="1">
      <alignment readingOrder="0"/>
    </xf>
    <xf borderId="2" fillId="0" fontId="2" numFmtId="3" xfId="0" applyAlignment="1" applyBorder="1" applyFont="1" applyNumberFormat="1">
      <alignment readingOrder="0"/>
    </xf>
    <xf borderId="2" fillId="0" fontId="1" numFmtId="170" xfId="0" applyAlignment="1" applyBorder="1" applyFont="1" applyNumberFormat="1">
      <alignment readingOrder="0"/>
    </xf>
    <xf borderId="2" fillId="0" fontId="37" numFmtId="0" xfId="0" applyAlignment="1" applyBorder="1" applyFont="1">
      <alignment readingOrder="0"/>
    </xf>
    <xf borderId="2" fillId="0" fontId="38" numFmtId="0" xfId="0" applyAlignment="1" applyBorder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2" numFmtId="0" xfId="0" applyAlignment="1" applyFont="1">
      <alignment readingOrder="0"/>
    </xf>
    <xf borderId="0" fillId="3" fontId="1" numFmtId="10" xfId="0" applyFill="1" applyFont="1" applyNumberFormat="1"/>
    <xf borderId="0" fillId="0" fontId="39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readingOrder="0"/>
    </xf>
    <xf borderId="2" fillId="2" fontId="1" numFmtId="165" xfId="0" applyAlignment="1" applyBorder="1" applyFill="1" applyFont="1" applyNumberFormat="1">
      <alignment readingOrder="0"/>
    </xf>
    <xf borderId="2" fillId="0" fontId="1" numFmtId="165" xfId="0" applyAlignment="1" applyBorder="1" applyFont="1" applyNumberFormat="1">
      <alignment readingOrder="0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E6F4EA"/>
          <bgColor rgb="FFE6F4E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15</xdr:row>
      <xdr:rowOff>171450</xdr:rowOff>
    </xdr:from>
    <xdr:ext cx="5095875" cy="18288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30</xdr:row>
      <xdr:rowOff>171450</xdr:rowOff>
    </xdr:from>
    <xdr:ext cx="9439275" cy="11144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ong Quyen Pham" id="{8be11544-4968-4b46-9fb3-b6344a2e8f77}" providerId="google-sheets"/>
  <x18tc:person displayName="Anonymous" id="{fe738388-7331-4e71-a9bf-0100f695bf9d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6:J37" sheet="Sắp xếp phòng"/>
  </cacheSource>
  <cacheFields>
    <cacheField name="Mã nhân viên">
      <sharedItems containsMixedTypes="1" containsNumber="1" containsInteger="1">
        <s v="055"/>
        <s v="013"/>
        <s v="016"/>
        <s v="039"/>
        <s v="061"/>
        <s v="062"/>
        <n v="133.0"/>
        <n v="134.0"/>
        <n v="135.0"/>
        <n v="139.0"/>
        <s v="087"/>
        <s v="037"/>
        <s v="068"/>
        <n v="106.0"/>
        <s v="054"/>
        <s v="007"/>
        <n v="130.0"/>
        <n v="129.0"/>
        <s v="036"/>
        <s v="066"/>
        <s v="031"/>
        <s v="076"/>
        <s v="081"/>
        <s v="034"/>
        <s v="051"/>
        <s v="094"/>
        <n v="126.0"/>
        <s v="030"/>
        <n v="103.0"/>
        <n v="131.0"/>
        <s v="006"/>
      </sharedItems>
    </cacheField>
    <cacheField name="Họ và tên" numFmtId="0">
      <sharedItems>
        <s v="Hà Đoàn Diệu"/>
        <s v="Phạm Thị Khánh Vân"/>
        <s v="Bế Ngọc Dung"/>
        <s v="Mông Thị Hằng"/>
        <s v="Lý Thị Thanh Hiếu"/>
        <s v="Hoàng Bằng Giang"/>
        <s v="Đàm Thị Hân"/>
        <s v="Đàm Thị Vụ"/>
        <s v="Đàm Thị Liệng"/>
        <s v="Chu Thị Hồng"/>
        <s v="Đinh Thị Bờ"/>
        <s v="Phạm Thị Hằng"/>
        <s v="Hà Thị Hòa"/>
        <s v="Trần Quốc Toản"/>
        <s v="Nguyễn Cao Cường"/>
        <s v="Nguyễn Xuân Thành"/>
        <s v="Nông Quốc Việt"/>
        <s v="Nông Hồng Hưng"/>
        <s v="Hoàng Văn Sinh"/>
        <s v="Nguyễn Quang Đạt"/>
        <s v="Lương Duy Thái"/>
        <s v="Nguyễn Hoài Nam"/>
        <s v="Tăng Văn Tuấn"/>
        <s v="Hoàng Văn Võ"/>
        <s v="Hoàng Văn Kiên"/>
        <s v="Luân Văn Mạnh"/>
        <s v="Lục Văn Quảng"/>
        <s v="Lương Văn Thành"/>
        <s v="Đàm Văn Cương"/>
        <s v="Lâm Hữu Huy"/>
        <s v="Trịnh Công Nguyên"/>
      </sharedItems>
    </cacheField>
    <cacheField name="Phòng ban" numFmtId="0">
      <sharedItems>
        <s v="Kế hoạch - Dự án"/>
        <s v="Hành chính - Nhân sự"/>
        <s v="Kinh doanh"/>
        <s v="Vận hành"/>
        <s v="Vận tải"/>
      </sharedItems>
    </cacheField>
    <cacheField name="Bộ phận" numFmtId="0">
      <sharedItems>
        <s v="Kế hoạch và Pháp lý"/>
        <s v="Hành chính - Nhân sự"/>
        <s v="Phát triển thị trường"/>
        <s v="Xuất nhập khẩu"/>
        <s v="Điều phối"/>
        <s v="Hành chính"/>
        <s v="An ninh"/>
        <s v="Vận hành thiết bị"/>
        <s v="Kỹ thuật"/>
        <s v="Ban Quản lý dự án"/>
        <s v="Vận tải"/>
      </sharedItems>
    </cacheField>
    <cacheField name="Vị trí" numFmtId="0">
      <sharedItems>
        <s v="Chuyên viên Kế hoạch - Dự án"/>
        <s v="Phó phòng Kế hoạch - Dự án"/>
        <s v="Nhân viên Hành chính - Nhân sự"/>
        <s v="Nhân viên Kinh doanh"/>
        <s v="Chuyên viên Kinh doanh"/>
        <s v="Nhân viên Xuất nhập khẩu"/>
        <s v="Công nhân bốc xếp"/>
        <s v="Nhân viên bếp"/>
        <s v="Nhân viên tạp vụ"/>
        <s v="Nhân viên An ninh"/>
        <s v="Nhân viên Điều phối"/>
        <s v="Trưởng bộ phận Công nghệ thông tin"/>
        <s v="Nhân viên Công nghệ thông tin"/>
        <s v="Nhân viên vận hành thiết bị"/>
        <s v="Nhân viên Kỹ thuật"/>
        <s v="Trưởng ban Quản lý dự án"/>
        <s v="Trưởng ca An ninh"/>
        <s v="Nhân viên nghiệp vụ cổng cảng và kho bãi"/>
        <s v="Chuyên viên điều phối vận tải"/>
        <s v="Trưởng bộ phận nghiệp vụ cổng cảng và kho bãi"/>
      </sharedItems>
    </cacheField>
    <cacheField name="Giới tính" numFmtId="0">
      <sharedItems>
        <s v="Nữ"/>
        <s v="Nam"/>
      </sharedItems>
    </cacheField>
    <cacheField name="Mã phòng" numFmtId="0">
      <sharedItems>
        <s v="DBL1"/>
        <s v="DBL2"/>
        <s v="DBL3"/>
        <s v="DBL4"/>
        <s v="DBL5"/>
        <s v="TRP1"/>
        <s v="TRP2"/>
        <s v="TRP3"/>
        <s v="TWN1"/>
        <s v="TWN2"/>
        <s v="TWN3"/>
        <s v="TWN4"/>
        <s v="TWN5"/>
        <s v="TRP4"/>
      </sharedItems>
    </cacheField>
    <cacheField name="Check đặt phòng ks" numFmtId="164">
      <sharedItems containsSemiMixedTypes="0" containsString="0" containsNumber="1" containsInteger="1">
        <n v="1.0"/>
      </sharedItems>
    </cacheField>
    <cacheField name="Công ty xuất hoá đơn" numFmtId="0">
      <sharedItems>
        <s v="Sơn Cảng"/>
        <s v="Phú Anh"/>
        <s v="Tà Lùng Quang Min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ắp xếp phòng" cacheId="0" dataCaption="" compact="0" compactData="0">
  <location ref="E42:F46" firstHeaderRow="0" firstDataRow="1" firstDataCol="0"/>
  <pivotFields>
    <pivotField name="Mã nhân viê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Họ và tê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hòng ba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ộ phậ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ị tr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Giới tính" compact="0" outline="0" multipleItemSelectionAllowed="1" showAll="0">
      <items>
        <item x="0"/>
        <item x="1"/>
        <item t="default"/>
      </items>
    </pivotField>
    <pivotField name="Mã phò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heck đặt phòng ks" compact="0" numFmtId="164" outline="0" multipleItemSelectionAllowed="1" showAll="0">
      <items>
        <item x="0"/>
        <item t="default"/>
      </items>
    </pivotField>
    <pivotField name="Công ty xuất hoá đơn" axis="axisRow" dataField="1" compact="0" outline="0" multipleItemSelectionAllowed="1" showAll="0" sortType="ascending">
      <items>
        <item x="1"/>
        <item x="0"/>
        <item x="2"/>
        <item t="default"/>
      </items>
    </pivotField>
  </pivotFields>
  <rowFields>
    <field x="8"/>
  </rowFields>
  <dataFields>
    <dataField name="COUNTA of Công ty xuất hoá đơn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9" dT="2026-09-19T10:12:58.00" personId="{fe738388-7331-4e71-a9bf-0100f695bf9d}" id="{b165e747-dbc3-48ec-bd6f-782cc2713879}" done="1">
    <x18tc:text xml:space="preserve">Không tham gia</x18tc:text>
  </x18tc:threadedComment>
  <x18tc:threadedComment ref="C20" dT="2026-09-19T10:13:33.00" personId="{fe738388-7331-4e71-a9bf-0100f695bf9d}" id="{7db79a86-1b20-47dc-bb82-e9a83a3fffcf}" done="1">
    <x18tc:text xml:space="preserve">Không tham gia</x18tc:text>
  </x18tc:threadedComment>
  <x18tc:threadedComment ref="C40" dT="2026-09-19T10:30:31.00" personId="{8be11544-4968-4b46-9fb3-b6344a2e8f77}" id="{71b7aa1d-de1d-4eda-8440-7c201e87700c}" done="1">
    <x18tc:text xml:space="preserve">check xem có tham gia không hay vẫn công tác Tây Nguyên</x18tc:text>
  </x18tc:threadedComment>
  <x18tc:threadedComment ref="O44" dT="2026-09-19T10:32:22.00" personId="{8be11544-4968-4b46-9fb3-b6344a2e8f77}" id="{4f1467fb-8084-4e37-9879-fd1eb07c79cb}" done="1">
    <x18tc:text xml:space="preserve">check ăn trưa đón đoàn CB</x18tc:text>
  </x18tc:threadedComment>
  <x18tc:threadedComment ref="C39" dT="2026-10-01T04:41:11.00" personId="{8be11544-4968-4b46-9fb3-b6344a2e8f77}" id="{c0c83233-b95f-4646-8ae5-ba40f147005a}" done="0">
    <x18tc:text xml:space="preserve">Trưởng xe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4" dT="2026-09-28T09:42:52.00" personId="{8be11544-4968-4b46-9fb3-b6344a2e8f77}" id="{5a06c489-e547-4139-a9ec-c502f9cc884b}" done="0">
    <x18tc:text xml:space="preserve">vlookup từ sheet master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enmayxanh.com/quat-suoi/quat-suoi-gom-kangaroo-kgah06g?srsltid=AU7gw4XId1erAz3EssJeroSDdMw8ELJJXKG_6D3ltuzkT3yYhuemrD2p" TargetMode="External"/><Relationship Id="rId2" Type="http://schemas.openxmlformats.org/officeDocument/2006/relationships/hyperlink" Target="https://www.dienmayxanh.com/ban-ui/ban-ui-hoi-nuoc-tefal-easy-steam-fv1955e0?srsltid=AU7gw4WvDADePrYxKvmqvijn2B4qo-ibweb_iDnYQEUu9mR1nsd2rKJb" TargetMode="External"/><Relationship Id="rId3" Type="http://schemas.openxmlformats.org/officeDocument/2006/relationships/hyperlink" Target="https://www.dienmayxanh.com/binh-dun-sieu-toc/binh-dun-sieu-toc-bear-15-lit-ke-5h15v35?srsltid=AU7gw4XAvW0GN1wTVus6LnVe3UrKXCoUVWfsd1TMqEbixdRstmBR1wTw" TargetMode="External"/><Relationship Id="rId4" Type="http://schemas.openxmlformats.org/officeDocument/2006/relationships/hyperlink" Target="https://www.dienmayxanh.com/binh-ly-giu-nhiet/binh-giu-nhiet-inox-500-ml-delites-z102-trang" TargetMode="External"/><Relationship Id="rId5" Type="http://schemas.openxmlformats.org/officeDocument/2006/relationships/hyperlink" Target="https://www.dienmayxanh.com/noi/bo-3-cai-inox-elmich-trimax-xr-el-3843" TargetMode="External"/><Relationship Id="rId6" Type="http://schemas.openxmlformats.org/officeDocument/2006/relationships/hyperlink" Target="https://www.dienmayxanh.com/may-hut-am/may-hut-am-sunhouse-shd-dhb2003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si=ZJ3I7rO8syRtiFSZ&amp;v=hka9VAf1ays&amp;feature=youtu.be" TargetMode="External"/><Relationship Id="rId2" Type="http://schemas.openxmlformats.org/officeDocument/2006/relationships/hyperlink" Target="https://www.facebook.com/share/v/19MEp3PNt2/?mibextid=wwXIfrp" TargetMode="External"/><Relationship Id="rId3" Type="http://schemas.openxmlformats.org/officeDocument/2006/relationships/hyperlink" Target="https://www.facebook.com/share/v/1ME2Y3h9TT/?mibextid=wwXIfr" TargetMode="External"/><Relationship Id="rId4" Type="http://schemas.openxmlformats.org/officeDocument/2006/relationships/hyperlink" Target="https://www.facebook.com/share/v/1LMiv9FFPC/?mibextid=wwXIfr" TargetMode="External"/><Relationship Id="rId10" Type="http://schemas.openxmlformats.org/officeDocument/2006/relationships/drawing" Target="../drawings/drawing13.xml"/><Relationship Id="rId9" Type="http://schemas.openxmlformats.org/officeDocument/2006/relationships/hyperlink" Target="https://youtu.be/vu0twUPIIyk?si=U2rcYBssgeTKxNRX" TargetMode="External"/><Relationship Id="rId5" Type="http://schemas.openxmlformats.org/officeDocument/2006/relationships/hyperlink" Target="https://www.facebook.com/share/v/1FR4TRZv6T/" TargetMode="External"/><Relationship Id="rId6" Type="http://schemas.openxmlformats.org/officeDocument/2006/relationships/hyperlink" Target="https://www.facebook.com/share/v/1Hp1jXWU9e/" TargetMode="External"/><Relationship Id="rId7" Type="http://schemas.openxmlformats.org/officeDocument/2006/relationships/hyperlink" Target="https://www.youtube.com/watch?si=9NiE6f8rVnpcDuqL&amp;v=APZjIXp6t30&amp;feature=youtu.be" TargetMode="External"/><Relationship Id="rId8" Type="http://schemas.openxmlformats.org/officeDocument/2006/relationships/hyperlink" Target="https://www.tiktok.com/@keyurbambhaniya/video/7682572586055634197?_r=1&amp;_t=ZS-99eymQrRh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20.13"/>
    <col customWidth="1" min="4" max="4" width="27.38"/>
    <col customWidth="1" min="5" max="5" width="15.75"/>
    <col customWidth="1" min="6" max="6" width="25.38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>
      <c r="A4" s="1">
        <v>1.0</v>
      </c>
      <c r="B4" s="1" t="s">
        <v>7</v>
      </c>
      <c r="C4" s="1" t="s">
        <v>8</v>
      </c>
      <c r="D4" s="1"/>
      <c r="E4" s="2" t="s">
        <v>9</v>
      </c>
      <c r="F4" s="1" t="s">
        <v>10</v>
      </c>
    </row>
    <row r="5">
      <c r="A5" s="1"/>
      <c r="B5" s="1" t="s">
        <v>11</v>
      </c>
      <c r="C5" s="1"/>
      <c r="F5" s="1"/>
    </row>
    <row r="6">
      <c r="A6" s="1"/>
      <c r="B6" s="1" t="s">
        <v>12</v>
      </c>
      <c r="C6" s="1" t="s">
        <v>13</v>
      </c>
      <c r="F6" s="1"/>
    </row>
    <row r="7">
      <c r="A7" s="1">
        <v>2.0</v>
      </c>
      <c r="B7" s="1" t="s">
        <v>14</v>
      </c>
      <c r="C7" s="1" t="s">
        <v>15</v>
      </c>
      <c r="D7" s="1" t="s">
        <v>16</v>
      </c>
      <c r="F7" s="1" t="s">
        <v>17</v>
      </c>
    </row>
    <row r="8">
      <c r="B8" s="1" t="s">
        <v>18</v>
      </c>
      <c r="C8" s="1" t="s">
        <v>19</v>
      </c>
      <c r="F8" s="1" t="s">
        <v>20</v>
      </c>
    </row>
    <row r="9">
      <c r="B9" s="1" t="s">
        <v>21</v>
      </c>
      <c r="C9" s="1" t="s">
        <v>22</v>
      </c>
    </row>
    <row r="10">
      <c r="B10" s="1" t="s">
        <v>23</v>
      </c>
      <c r="C10" s="1" t="s">
        <v>24</v>
      </c>
      <c r="F10" s="2" t="s">
        <v>25</v>
      </c>
    </row>
    <row r="11">
      <c r="B11" s="1" t="s">
        <v>23</v>
      </c>
      <c r="C11" s="1" t="s">
        <v>26</v>
      </c>
      <c r="F11" s="1" t="s">
        <v>27</v>
      </c>
    </row>
    <row r="12">
      <c r="C12" s="1" t="s">
        <v>28</v>
      </c>
      <c r="F12" s="1" t="s">
        <v>29</v>
      </c>
      <c r="G12" s="1" t="s">
        <v>30</v>
      </c>
    </row>
    <row r="13">
      <c r="B13" s="1" t="s">
        <v>31</v>
      </c>
      <c r="C13" s="1" t="s">
        <v>32</v>
      </c>
      <c r="D13" s="2" t="s">
        <v>33</v>
      </c>
    </row>
    <row r="14">
      <c r="B14" s="1" t="s">
        <v>34</v>
      </c>
      <c r="C14" s="1" t="s">
        <v>35</v>
      </c>
      <c r="D14" s="2" t="s">
        <v>36</v>
      </c>
    </row>
    <row r="16">
      <c r="B16" s="1" t="s">
        <v>37</v>
      </c>
    </row>
    <row r="17">
      <c r="C17" s="1" t="s">
        <v>38</v>
      </c>
      <c r="D17" s="1" t="s">
        <v>39</v>
      </c>
    </row>
    <row r="18">
      <c r="B18" s="1" t="s">
        <v>40</v>
      </c>
    </row>
    <row r="19">
      <c r="B19" s="1" t="s">
        <v>41</v>
      </c>
      <c r="C19" s="1" t="s">
        <v>42</v>
      </c>
      <c r="D19" s="1" t="s">
        <v>43</v>
      </c>
    </row>
    <row r="24">
      <c r="B24" s="1" t="s">
        <v>44</v>
      </c>
    </row>
    <row r="25">
      <c r="B25" s="3" t="s">
        <v>45</v>
      </c>
    </row>
    <row r="26">
      <c r="B26" s="1" t="s">
        <v>46</v>
      </c>
    </row>
    <row r="28">
      <c r="B28" s="1" t="s">
        <v>47</v>
      </c>
    </row>
    <row r="29">
      <c r="B29" s="1" t="s">
        <v>48</v>
      </c>
    </row>
    <row r="30">
      <c r="B30" s="1" t="s">
        <v>49</v>
      </c>
    </row>
    <row r="32">
      <c r="B32" s="3" t="s">
        <v>50</v>
      </c>
    </row>
    <row r="33">
      <c r="B33" s="1" t="s">
        <v>51</v>
      </c>
    </row>
    <row r="34">
      <c r="B34" s="1" t="s">
        <v>52</v>
      </c>
    </row>
    <row r="35">
      <c r="B35" s="1" t="s">
        <v>53</v>
      </c>
    </row>
    <row r="36">
      <c r="B36" s="1" t="s">
        <v>54</v>
      </c>
    </row>
    <row r="37">
      <c r="B37" s="1" t="s">
        <v>55</v>
      </c>
    </row>
    <row r="38">
      <c r="B38" s="1" t="s">
        <v>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62.63"/>
  </cols>
  <sheetData>
    <row r="1">
      <c r="A1" s="3" t="s">
        <v>57</v>
      </c>
    </row>
    <row r="4" ht="26.25" customHeight="1">
      <c r="A4" s="3" t="s">
        <v>58</v>
      </c>
      <c r="B4" s="3" t="s">
        <v>59</v>
      </c>
      <c r="C4" s="3" t="s">
        <v>60</v>
      </c>
    </row>
    <row r="5" ht="26.25" customHeight="1">
      <c r="A5" s="4">
        <v>46300.0</v>
      </c>
      <c r="B5" s="1" t="s">
        <v>61</v>
      </c>
      <c r="C5" s="1" t="s">
        <v>62</v>
      </c>
    </row>
    <row r="6" ht="26.25" customHeight="1">
      <c r="B6" s="1" t="s">
        <v>63</v>
      </c>
      <c r="C6" s="1" t="s">
        <v>64</v>
      </c>
    </row>
    <row r="7" ht="26.25" customHeight="1">
      <c r="B7" s="1" t="s">
        <v>65</v>
      </c>
      <c r="C7" s="1" t="s">
        <v>66</v>
      </c>
    </row>
    <row r="8" ht="26.25" customHeight="1">
      <c r="B8" s="1" t="s">
        <v>67</v>
      </c>
      <c r="C8" s="1" t="s">
        <v>68</v>
      </c>
    </row>
    <row r="9" ht="26.25" customHeight="1">
      <c r="B9" s="1" t="s">
        <v>69</v>
      </c>
      <c r="C9" s="1" t="s">
        <v>70</v>
      </c>
    </row>
    <row r="10" ht="26.25" customHeight="1">
      <c r="B10" s="1" t="s">
        <v>71</v>
      </c>
      <c r="C10" s="1" t="s">
        <v>72</v>
      </c>
    </row>
    <row r="11" ht="26.25" customHeight="1">
      <c r="B11" s="1" t="s">
        <v>73</v>
      </c>
      <c r="C11" s="1" t="s">
        <v>74</v>
      </c>
    </row>
    <row r="12" ht="26.25" customHeight="1">
      <c r="B12" s="1" t="s">
        <v>75</v>
      </c>
      <c r="C12" s="1" t="s">
        <v>76</v>
      </c>
    </row>
    <row r="13" ht="26.25" customHeight="1">
      <c r="A13" s="5"/>
      <c r="B13" s="6"/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6.25" customHeight="1">
      <c r="A14" s="4">
        <v>46301.0</v>
      </c>
      <c r="B14" s="1" t="s">
        <v>63</v>
      </c>
      <c r="C14" s="1" t="s">
        <v>77</v>
      </c>
    </row>
    <row r="15" ht="26.25" customHeight="1">
      <c r="B15" s="1" t="s">
        <v>78</v>
      </c>
      <c r="C15" s="1" t="s">
        <v>79</v>
      </c>
    </row>
    <row r="16" ht="26.25" customHeight="1">
      <c r="B16" s="1" t="s">
        <v>80</v>
      </c>
      <c r="C16" s="1" t="s">
        <v>81</v>
      </c>
    </row>
    <row r="17" ht="26.25" customHeight="1">
      <c r="B17" s="1" t="s">
        <v>82</v>
      </c>
      <c r="C17" s="1" t="s">
        <v>83</v>
      </c>
    </row>
    <row r="18" ht="26.25" customHeight="1">
      <c r="B18" s="1" t="s">
        <v>69</v>
      </c>
      <c r="C18" s="1" t="s">
        <v>84</v>
      </c>
    </row>
    <row r="19" ht="26.25" customHeight="1">
      <c r="B19" s="1" t="s">
        <v>73</v>
      </c>
      <c r="C19" s="1" t="s">
        <v>85</v>
      </c>
    </row>
    <row r="20" ht="26.25" customHeight="1">
      <c r="B20" s="1" t="s">
        <v>86</v>
      </c>
      <c r="C20" s="1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5.38"/>
    <col customWidth="1" min="2" max="2" width="8.5"/>
    <col customWidth="1" min="3" max="3" width="17.75"/>
    <col customWidth="1" min="4" max="4" width="20.0"/>
    <col customWidth="1" hidden="1" min="5" max="5" width="20.0"/>
    <col customWidth="1" min="6" max="6" width="24.75"/>
    <col customWidth="1" min="7" max="7" width="10.88"/>
    <col customWidth="1" min="12" max="12" width="16.13"/>
    <col customWidth="1" min="21" max="21" width="25.88"/>
    <col customWidth="1" min="22" max="23" width="17.25"/>
  </cols>
  <sheetData>
    <row r="1">
      <c r="A1" s="7" t="s">
        <v>88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9"/>
      <c r="L2" s="9"/>
      <c r="M2" s="9"/>
      <c r="N2" s="9" t="s">
        <v>89</v>
      </c>
      <c r="O2" s="9" t="s">
        <v>90</v>
      </c>
      <c r="P2" s="10" t="s">
        <v>91</v>
      </c>
      <c r="Q2" s="10" t="s">
        <v>92</v>
      </c>
      <c r="R2" s="9" t="s">
        <v>93</v>
      </c>
      <c r="S2" s="9" t="s">
        <v>94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>
      <c r="A3" s="11" t="s">
        <v>1</v>
      </c>
      <c r="B3" s="11" t="s">
        <v>95</v>
      </c>
      <c r="C3" s="11" t="s">
        <v>96</v>
      </c>
      <c r="D3" s="11" t="s">
        <v>97</v>
      </c>
      <c r="E3" s="11" t="s">
        <v>98</v>
      </c>
      <c r="F3" s="11" t="s">
        <v>99</v>
      </c>
      <c r="G3" s="12" t="s">
        <v>100</v>
      </c>
      <c r="H3" s="12" t="s">
        <v>101</v>
      </c>
      <c r="I3" s="11" t="s">
        <v>102</v>
      </c>
      <c r="J3" s="11" t="s">
        <v>103</v>
      </c>
      <c r="K3" s="12" t="s">
        <v>104</v>
      </c>
      <c r="L3" s="12" t="s">
        <v>105</v>
      </c>
      <c r="M3" s="12" t="s">
        <v>14</v>
      </c>
      <c r="N3" s="12" t="s">
        <v>106</v>
      </c>
      <c r="O3" s="12" t="s">
        <v>107</v>
      </c>
      <c r="P3" s="11" t="s">
        <v>108</v>
      </c>
      <c r="Q3" s="11" t="s">
        <v>109</v>
      </c>
      <c r="R3" s="12" t="s">
        <v>110</v>
      </c>
      <c r="S3" s="12" t="s">
        <v>111</v>
      </c>
      <c r="T3" s="11" t="s">
        <v>112</v>
      </c>
      <c r="U3" s="11" t="s">
        <v>113</v>
      </c>
      <c r="V3" s="12" t="s">
        <v>114</v>
      </c>
      <c r="W3" s="12" t="s">
        <v>115</v>
      </c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>
      <c r="A4" s="14">
        <v>1.0</v>
      </c>
      <c r="B4" s="15" t="s">
        <v>116</v>
      </c>
      <c r="C4" s="16" t="s">
        <v>117</v>
      </c>
      <c r="D4" s="16" t="s">
        <v>118</v>
      </c>
      <c r="E4" s="16" t="s">
        <v>119</v>
      </c>
      <c r="F4" s="16" t="s">
        <v>120</v>
      </c>
      <c r="G4" s="17" t="s">
        <v>121</v>
      </c>
      <c r="H4" s="17" t="s">
        <v>122</v>
      </c>
      <c r="I4" s="16" t="s">
        <v>40</v>
      </c>
      <c r="J4" s="18">
        <v>1.0</v>
      </c>
      <c r="K4" s="19">
        <v>1.0</v>
      </c>
      <c r="L4" s="20"/>
      <c r="M4" s="20"/>
      <c r="N4" s="19">
        <v>1.0</v>
      </c>
      <c r="O4" s="19">
        <v>1.0</v>
      </c>
      <c r="P4" s="19">
        <v>1.0</v>
      </c>
      <c r="Q4" s="20">
        <f t="shared" ref="Q4:Q17" si="1">if(J4=1,1,"")</f>
        <v>1</v>
      </c>
      <c r="R4" s="20">
        <f t="shared" ref="R4:R5" si="2">Q4</f>
        <v>1</v>
      </c>
      <c r="S4" s="20">
        <f t="shared" ref="S4:S5" si="3">N4</f>
        <v>1</v>
      </c>
      <c r="T4" s="16"/>
      <c r="U4" s="16"/>
      <c r="V4" s="21" t="s">
        <v>123</v>
      </c>
      <c r="W4" s="21" t="s">
        <v>123</v>
      </c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</row>
    <row r="5">
      <c r="A5" s="23">
        <f t="shared" ref="A5:A78" si="4">A4+1</f>
        <v>2</v>
      </c>
      <c r="B5" s="15" t="s">
        <v>124</v>
      </c>
      <c r="C5" s="16" t="s">
        <v>125</v>
      </c>
      <c r="D5" s="16" t="s">
        <v>126</v>
      </c>
      <c r="E5" s="16" t="s">
        <v>127</v>
      </c>
      <c r="F5" s="16" t="s">
        <v>128</v>
      </c>
      <c r="G5" s="17" t="s">
        <v>121</v>
      </c>
      <c r="H5" s="17" t="s">
        <v>129</v>
      </c>
      <c r="I5" s="16" t="s">
        <v>40</v>
      </c>
      <c r="J5" s="18">
        <v>1.0</v>
      </c>
      <c r="K5" s="20">
        <f>if(and(I5="Cao Bằng",J5=1),1,"")</f>
        <v>1</v>
      </c>
      <c r="L5" s="20"/>
      <c r="M5" s="20">
        <v>1.0</v>
      </c>
      <c r="N5" s="20">
        <f>if(and(I5="Cao Bằng",J5=1),1,"")</f>
        <v>1</v>
      </c>
      <c r="O5" s="19">
        <f>if(J5=1,1,"")</f>
        <v>1</v>
      </c>
      <c r="P5" s="20">
        <f t="shared" ref="P5:P18" si="5">if(J5=1,1,"")</f>
        <v>1</v>
      </c>
      <c r="Q5" s="20">
        <f t="shared" si="1"/>
        <v>1</v>
      </c>
      <c r="R5" s="20">
        <f t="shared" si="2"/>
        <v>1</v>
      </c>
      <c r="S5" s="20">
        <f t="shared" si="3"/>
        <v>1</v>
      </c>
      <c r="T5" s="16"/>
      <c r="U5" s="16"/>
      <c r="V5" s="21" t="s">
        <v>130</v>
      </c>
      <c r="W5" s="21" t="s">
        <v>130</v>
      </c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</row>
    <row r="6">
      <c r="A6" s="23">
        <f t="shared" si="4"/>
        <v>3</v>
      </c>
      <c r="B6" s="15" t="s">
        <v>131</v>
      </c>
      <c r="C6" s="16" t="s">
        <v>132</v>
      </c>
      <c r="D6" s="16" t="s">
        <v>126</v>
      </c>
      <c r="E6" s="16" t="s">
        <v>127</v>
      </c>
      <c r="F6" s="16" t="s">
        <v>133</v>
      </c>
      <c r="G6" s="17" t="s">
        <v>121</v>
      </c>
      <c r="H6" s="17" t="s">
        <v>122</v>
      </c>
      <c r="I6" s="16" t="s">
        <v>40</v>
      </c>
      <c r="J6" s="18">
        <v>1.0</v>
      </c>
      <c r="K6" s="20"/>
      <c r="L6" s="19" t="s">
        <v>134</v>
      </c>
      <c r="M6" s="20"/>
      <c r="N6" s="20"/>
      <c r="O6" s="19"/>
      <c r="P6" s="20">
        <f t="shared" si="5"/>
        <v>1</v>
      </c>
      <c r="Q6" s="20">
        <f t="shared" si="1"/>
        <v>1</v>
      </c>
      <c r="R6" s="19">
        <v>1.0</v>
      </c>
      <c r="S6" s="20"/>
      <c r="T6" s="16"/>
      <c r="U6" s="17"/>
      <c r="V6" s="21" t="s">
        <v>130</v>
      </c>
      <c r="W6" s="21" t="s">
        <v>130</v>
      </c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>
      <c r="A7" s="23">
        <f t="shared" si="4"/>
        <v>4</v>
      </c>
      <c r="B7" s="15" t="s">
        <v>135</v>
      </c>
      <c r="C7" s="16" t="s">
        <v>136</v>
      </c>
      <c r="D7" s="16" t="s">
        <v>126</v>
      </c>
      <c r="E7" s="16" t="s">
        <v>127</v>
      </c>
      <c r="F7" s="16" t="s">
        <v>137</v>
      </c>
      <c r="G7" s="17" t="s">
        <v>121</v>
      </c>
      <c r="H7" s="17" t="s">
        <v>129</v>
      </c>
      <c r="I7" s="16" t="s">
        <v>40</v>
      </c>
      <c r="J7" s="18">
        <v>1.0</v>
      </c>
      <c r="K7" s="20">
        <f t="shared" ref="K7:K17" si="6">if(and(I7="Cao Bằng",J7=1),1,"")</f>
        <v>1</v>
      </c>
      <c r="L7" s="20"/>
      <c r="M7" s="20">
        <v>1.0</v>
      </c>
      <c r="N7" s="20">
        <f t="shared" ref="N7:N11" si="7">if(and(I7="Cao Bằng",J7=1),1,"")</f>
        <v>1</v>
      </c>
      <c r="O7" s="19">
        <f t="shared" ref="O7:O11" si="8">if(J7=1,1,"")</f>
        <v>1</v>
      </c>
      <c r="P7" s="20">
        <f t="shared" si="5"/>
        <v>1</v>
      </c>
      <c r="Q7" s="20">
        <f t="shared" si="1"/>
        <v>1</v>
      </c>
      <c r="R7" s="20">
        <f t="shared" ref="R7:R17" si="9">Q7</f>
        <v>1</v>
      </c>
      <c r="S7" s="20">
        <f t="shared" ref="S7:S14" si="10">N7</f>
        <v>1</v>
      </c>
      <c r="T7" s="16"/>
      <c r="U7" s="16"/>
      <c r="V7" s="21" t="s">
        <v>123</v>
      </c>
      <c r="W7" s="21" t="s">
        <v>123</v>
      </c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>
      <c r="A8" s="23">
        <f t="shared" si="4"/>
        <v>5</v>
      </c>
      <c r="B8" s="15" t="s">
        <v>138</v>
      </c>
      <c r="C8" s="16" t="s">
        <v>139</v>
      </c>
      <c r="D8" s="16" t="s">
        <v>126</v>
      </c>
      <c r="E8" s="16" t="s">
        <v>127</v>
      </c>
      <c r="F8" s="16" t="s">
        <v>137</v>
      </c>
      <c r="G8" s="17" t="s">
        <v>121</v>
      </c>
      <c r="H8" s="17" t="s">
        <v>129</v>
      </c>
      <c r="I8" s="16" t="s">
        <v>40</v>
      </c>
      <c r="J8" s="18">
        <v>1.0</v>
      </c>
      <c r="K8" s="20">
        <f t="shared" si="6"/>
        <v>1</v>
      </c>
      <c r="L8" s="20"/>
      <c r="M8" s="20">
        <v>1.0</v>
      </c>
      <c r="N8" s="20">
        <f t="shared" si="7"/>
        <v>1</v>
      </c>
      <c r="O8" s="19">
        <f t="shared" si="8"/>
        <v>1</v>
      </c>
      <c r="P8" s="20">
        <f t="shared" si="5"/>
        <v>1</v>
      </c>
      <c r="Q8" s="20">
        <f t="shared" si="1"/>
        <v>1</v>
      </c>
      <c r="R8" s="20">
        <f t="shared" si="9"/>
        <v>1</v>
      </c>
      <c r="S8" s="20">
        <f t="shared" si="10"/>
        <v>1</v>
      </c>
      <c r="T8" s="16"/>
      <c r="U8" s="16"/>
      <c r="V8" s="21" t="s">
        <v>130</v>
      </c>
      <c r="W8" s="21" t="s">
        <v>130</v>
      </c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>
      <c r="A9" s="23">
        <f t="shared" si="4"/>
        <v>6</v>
      </c>
      <c r="B9" s="15" t="s">
        <v>140</v>
      </c>
      <c r="C9" s="16" t="s">
        <v>141</v>
      </c>
      <c r="D9" s="16" t="s">
        <v>126</v>
      </c>
      <c r="E9" s="16" t="s">
        <v>126</v>
      </c>
      <c r="F9" s="16" t="s">
        <v>142</v>
      </c>
      <c r="G9" s="17" t="s">
        <v>121</v>
      </c>
      <c r="H9" s="17" t="s">
        <v>129</v>
      </c>
      <c r="I9" s="16" t="s">
        <v>40</v>
      </c>
      <c r="J9" s="18">
        <v>1.0</v>
      </c>
      <c r="K9" s="20">
        <f t="shared" si="6"/>
        <v>1</v>
      </c>
      <c r="L9" s="20"/>
      <c r="M9" s="20">
        <v>1.0</v>
      </c>
      <c r="N9" s="20">
        <f t="shared" si="7"/>
        <v>1</v>
      </c>
      <c r="O9" s="19">
        <f t="shared" si="8"/>
        <v>1</v>
      </c>
      <c r="P9" s="20">
        <f t="shared" si="5"/>
        <v>1</v>
      </c>
      <c r="Q9" s="20">
        <f t="shared" si="1"/>
        <v>1</v>
      </c>
      <c r="R9" s="20">
        <f t="shared" si="9"/>
        <v>1</v>
      </c>
      <c r="S9" s="20">
        <f t="shared" si="10"/>
        <v>1</v>
      </c>
      <c r="T9" s="16"/>
      <c r="U9" s="16"/>
      <c r="V9" s="21" t="s">
        <v>123</v>
      </c>
      <c r="W9" s="21" t="s">
        <v>123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>
      <c r="A10" s="23">
        <f t="shared" si="4"/>
        <v>7</v>
      </c>
      <c r="B10" s="24">
        <v>138.0</v>
      </c>
      <c r="C10" s="16" t="s">
        <v>143</v>
      </c>
      <c r="D10" s="16" t="s">
        <v>144</v>
      </c>
      <c r="E10" s="16" t="s">
        <v>145</v>
      </c>
      <c r="F10" s="16" t="s">
        <v>146</v>
      </c>
      <c r="G10" s="17" t="s">
        <v>121</v>
      </c>
      <c r="H10" s="17" t="s">
        <v>122</v>
      </c>
      <c r="I10" s="16" t="s">
        <v>40</v>
      </c>
      <c r="J10" s="18"/>
      <c r="K10" s="20" t="str">
        <f t="shared" si="6"/>
        <v/>
      </c>
      <c r="L10" s="20"/>
      <c r="M10" s="20"/>
      <c r="N10" s="20" t="str">
        <f t="shared" si="7"/>
        <v/>
      </c>
      <c r="O10" s="19" t="str">
        <f t="shared" si="8"/>
        <v/>
      </c>
      <c r="P10" s="20" t="str">
        <f t="shared" si="5"/>
        <v/>
      </c>
      <c r="Q10" s="20" t="str">
        <f t="shared" si="1"/>
        <v/>
      </c>
      <c r="R10" s="20" t="str">
        <f t="shared" si="9"/>
        <v/>
      </c>
      <c r="S10" s="20" t="str">
        <f t="shared" si="10"/>
        <v/>
      </c>
      <c r="T10" s="17" t="s">
        <v>147</v>
      </c>
      <c r="U10" s="16"/>
      <c r="V10" s="21" t="s">
        <v>130</v>
      </c>
      <c r="W10" s="21" t="s">
        <v>130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>
      <c r="A11" s="23">
        <f t="shared" si="4"/>
        <v>8</v>
      </c>
      <c r="B11" s="15" t="s">
        <v>148</v>
      </c>
      <c r="C11" s="16" t="s">
        <v>149</v>
      </c>
      <c r="D11" s="16" t="s">
        <v>144</v>
      </c>
      <c r="E11" s="16" t="s">
        <v>145</v>
      </c>
      <c r="F11" s="16" t="s">
        <v>150</v>
      </c>
      <c r="G11" s="17" t="s">
        <v>121</v>
      </c>
      <c r="H11" s="17" t="s">
        <v>122</v>
      </c>
      <c r="I11" s="16" t="s">
        <v>40</v>
      </c>
      <c r="J11" s="18">
        <v>1.0</v>
      </c>
      <c r="K11" s="20">
        <f t="shared" si="6"/>
        <v>1</v>
      </c>
      <c r="L11" s="20"/>
      <c r="M11" s="20">
        <v>1.0</v>
      </c>
      <c r="N11" s="20">
        <f t="shared" si="7"/>
        <v>1</v>
      </c>
      <c r="O11" s="19">
        <f t="shared" si="8"/>
        <v>1</v>
      </c>
      <c r="P11" s="20">
        <f t="shared" si="5"/>
        <v>1</v>
      </c>
      <c r="Q11" s="20">
        <f t="shared" si="1"/>
        <v>1</v>
      </c>
      <c r="R11" s="20">
        <f t="shared" si="9"/>
        <v>1</v>
      </c>
      <c r="S11" s="20">
        <f t="shared" si="10"/>
        <v>1</v>
      </c>
      <c r="T11" s="16"/>
      <c r="U11" s="16"/>
      <c r="V11" s="21" t="s">
        <v>151</v>
      </c>
      <c r="W11" s="21" t="s">
        <v>130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>
      <c r="A12" s="23">
        <f t="shared" si="4"/>
        <v>9</v>
      </c>
      <c r="B12" s="15" t="s">
        <v>152</v>
      </c>
      <c r="C12" s="16" t="s">
        <v>153</v>
      </c>
      <c r="D12" s="16" t="s">
        <v>144</v>
      </c>
      <c r="E12" s="16" t="s">
        <v>145</v>
      </c>
      <c r="F12" s="16" t="s">
        <v>154</v>
      </c>
      <c r="G12" s="17" t="s">
        <v>121</v>
      </c>
      <c r="H12" s="17" t="s">
        <v>122</v>
      </c>
      <c r="I12" s="16" t="s">
        <v>40</v>
      </c>
      <c r="J12" s="18"/>
      <c r="K12" s="20" t="str">
        <f t="shared" si="6"/>
        <v/>
      </c>
      <c r="L12" s="20"/>
      <c r="M12" s="20" t="s">
        <v>155</v>
      </c>
      <c r="N12" s="20"/>
      <c r="O12" s="19"/>
      <c r="P12" s="20" t="str">
        <f t="shared" si="5"/>
        <v/>
      </c>
      <c r="Q12" s="20" t="str">
        <f t="shared" si="1"/>
        <v/>
      </c>
      <c r="R12" s="20" t="str">
        <f t="shared" si="9"/>
        <v/>
      </c>
      <c r="S12" s="20" t="str">
        <f t="shared" si="10"/>
        <v/>
      </c>
      <c r="T12" s="16"/>
      <c r="U12" s="16"/>
      <c r="V12" s="21" t="s">
        <v>123</v>
      </c>
      <c r="W12" s="21" t="s">
        <v>123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>
      <c r="A13" s="23">
        <f t="shared" si="4"/>
        <v>10</v>
      </c>
      <c r="B13" s="15" t="s">
        <v>156</v>
      </c>
      <c r="C13" s="16" t="s">
        <v>157</v>
      </c>
      <c r="D13" s="16" t="s">
        <v>144</v>
      </c>
      <c r="E13" s="16" t="s">
        <v>158</v>
      </c>
      <c r="F13" s="16" t="s">
        <v>159</v>
      </c>
      <c r="G13" s="17" t="s">
        <v>121</v>
      </c>
      <c r="H13" s="17" t="s">
        <v>129</v>
      </c>
      <c r="I13" s="16" t="s">
        <v>40</v>
      </c>
      <c r="J13" s="18">
        <v>1.0</v>
      </c>
      <c r="K13" s="20">
        <f t="shared" si="6"/>
        <v>1</v>
      </c>
      <c r="L13" s="20"/>
      <c r="M13" s="20">
        <v>1.0</v>
      </c>
      <c r="N13" s="20">
        <f t="shared" ref="N13:N14" si="11">if(and(I13="Cao Bằng",J13=1),1,"")</f>
        <v>1</v>
      </c>
      <c r="O13" s="19">
        <f t="shared" ref="O13:O17" si="12">if(J13=1,1,"")</f>
        <v>1</v>
      </c>
      <c r="P13" s="20">
        <f t="shared" si="5"/>
        <v>1</v>
      </c>
      <c r="Q13" s="20">
        <f t="shared" si="1"/>
        <v>1</v>
      </c>
      <c r="R13" s="20">
        <f t="shared" si="9"/>
        <v>1</v>
      </c>
      <c r="S13" s="20">
        <f t="shared" si="10"/>
        <v>1</v>
      </c>
      <c r="T13" s="16"/>
      <c r="U13" s="16"/>
      <c r="V13" s="21" t="s">
        <v>130</v>
      </c>
      <c r="W13" s="21" t="s">
        <v>130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>
      <c r="A14" s="23">
        <f t="shared" si="4"/>
        <v>11</v>
      </c>
      <c r="B14" s="15" t="s">
        <v>160</v>
      </c>
      <c r="C14" s="16" t="s">
        <v>161</v>
      </c>
      <c r="D14" s="16" t="s">
        <v>144</v>
      </c>
      <c r="E14" s="16" t="s">
        <v>158</v>
      </c>
      <c r="F14" s="16" t="s">
        <v>162</v>
      </c>
      <c r="G14" s="17" t="s">
        <v>121</v>
      </c>
      <c r="H14" s="17" t="s">
        <v>129</v>
      </c>
      <c r="I14" s="16" t="s">
        <v>40</v>
      </c>
      <c r="J14" s="18">
        <v>1.0</v>
      </c>
      <c r="K14" s="20">
        <f t="shared" si="6"/>
        <v>1</v>
      </c>
      <c r="L14" s="20"/>
      <c r="M14" s="20">
        <v>1.0</v>
      </c>
      <c r="N14" s="20">
        <f t="shared" si="11"/>
        <v>1</v>
      </c>
      <c r="O14" s="19">
        <f t="shared" si="12"/>
        <v>1</v>
      </c>
      <c r="P14" s="20">
        <f t="shared" si="5"/>
        <v>1</v>
      </c>
      <c r="Q14" s="20">
        <f t="shared" si="1"/>
        <v>1</v>
      </c>
      <c r="R14" s="20">
        <f t="shared" si="9"/>
        <v>1</v>
      </c>
      <c r="S14" s="20">
        <f t="shared" si="10"/>
        <v>1</v>
      </c>
      <c r="T14" s="16"/>
      <c r="U14" s="16"/>
      <c r="V14" s="21" t="s">
        <v>123</v>
      </c>
      <c r="W14" s="21" t="s">
        <v>123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>
      <c r="A15" s="23">
        <f t="shared" si="4"/>
        <v>12</v>
      </c>
      <c r="B15" s="15" t="s">
        <v>163</v>
      </c>
      <c r="C15" s="16" t="s">
        <v>164</v>
      </c>
      <c r="D15" s="16" t="s">
        <v>165</v>
      </c>
      <c r="E15" s="16" t="s">
        <v>166</v>
      </c>
      <c r="F15" s="16" t="s">
        <v>167</v>
      </c>
      <c r="G15" s="17" t="s">
        <v>121</v>
      </c>
      <c r="H15" s="17" t="s">
        <v>122</v>
      </c>
      <c r="I15" s="16" t="s">
        <v>40</v>
      </c>
      <c r="J15" s="18">
        <v>1.0</v>
      </c>
      <c r="K15" s="20">
        <f t="shared" si="6"/>
        <v>1</v>
      </c>
      <c r="L15" s="19">
        <v>1.0</v>
      </c>
      <c r="M15" s="19">
        <v>1.0</v>
      </c>
      <c r="N15" s="19">
        <v>1.0</v>
      </c>
      <c r="O15" s="19">
        <f t="shared" si="12"/>
        <v>1</v>
      </c>
      <c r="P15" s="20">
        <f t="shared" si="5"/>
        <v>1</v>
      </c>
      <c r="Q15" s="20">
        <f t="shared" si="1"/>
        <v>1</v>
      </c>
      <c r="R15" s="20">
        <f t="shared" si="9"/>
        <v>1</v>
      </c>
      <c r="S15" s="19">
        <v>1.0</v>
      </c>
      <c r="T15" s="16"/>
      <c r="U15" s="16"/>
      <c r="V15" s="21" t="s">
        <v>123</v>
      </c>
      <c r="W15" s="21" t="s">
        <v>123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>
      <c r="A16" s="23">
        <f t="shared" si="4"/>
        <v>13</v>
      </c>
      <c r="B16" s="15" t="s">
        <v>168</v>
      </c>
      <c r="C16" s="16" t="s">
        <v>169</v>
      </c>
      <c r="D16" s="16" t="s">
        <v>165</v>
      </c>
      <c r="E16" s="16" t="s">
        <v>166</v>
      </c>
      <c r="F16" s="16" t="s">
        <v>167</v>
      </c>
      <c r="G16" s="17" t="s">
        <v>121</v>
      </c>
      <c r="H16" s="17" t="s">
        <v>129</v>
      </c>
      <c r="I16" s="16" t="s">
        <v>40</v>
      </c>
      <c r="J16" s="18">
        <v>1.0</v>
      </c>
      <c r="K16" s="20">
        <f t="shared" si="6"/>
        <v>1</v>
      </c>
      <c r="L16" s="20"/>
      <c r="M16" s="20">
        <v>1.0</v>
      </c>
      <c r="N16" s="20">
        <f t="shared" ref="N16:N17" si="13">if(and(I16="Cao Bằng",J16=1),1,"")</f>
        <v>1</v>
      </c>
      <c r="O16" s="19">
        <f t="shared" si="12"/>
        <v>1</v>
      </c>
      <c r="P16" s="20">
        <f t="shared" si="5"/>
        <v>1</v>
      </c>
      <c r="Q16" s="20">
        <f t="shared" si="1"/>
        <v>1</v>
      </c>
      <c r="R16" s="20">
        <f t="shared" si="9"/>
        <v>1</v>
      </c>
      <c r="S16" s="20">
        <f t="shared" ref="S16:S18" si="14">N16</f>
        <v>1</v>
      </c>
      <c r="T16" s="16"/>
      <c r="U16" s="16"/>
      <c r="V16" s="21" t="s">
        <v>130</v>
      </c>
      <c r="W16" s="21" t="s">
        <v>130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>
      <c r="A17" s="23">
        <f t="shared" si="4"/>
        <v>14</v>
      </c>
      <c r="B17" s="15" t="s">
        <v>170</v>
      </c>
      <c r="C17" s="16" t="s">
        <v>171</v>
      </c>
      <c r="D17" s="16" t="s">
        <v>165</v>
      </c>
      <c r="E17" s="16" t="s">
        <v>166</v>
      </c>
      <c r="F17" s="16" t="s">
        <v>172</v>
      </c>
      <c r="G17" s="17" t="s">
        <v>121</v>
      </c>
      <c r="H17" s="17" t="s">
        <v>129</v>
      </c>
      <c r="I17" s="16" t="s">
        <v>40</v>
      </c>
      <c r="J17" s="18">
        <v>1.0</v>
      </c>
      <c r="K17" s="20">
        <f t="shared" si="6"/>
        <v>1</v>
      </c>
      <c r="L17" s="20"/>
      <c r="M17" s="20">
        <v>1.0</v>
      </c>
      <c r="N17" s="20">
        <f t="shared" si="13"/>
        <v>1</v>
      </c>
      <c r="O17" s="19">
        <f t="shared" si="12"/>
        <v>1</v>
      </c>
      <c r="P17" s="20">
        <f t="shared" si="5"/>
        <v>1</v>
      </c>
      <c r="Q17" s="20">
        <f t="shared" si="1"/>
        <v>1</v>
      </c>
      <c r="R17" s="20">
        <f t="shared" si="9"/>
        <v>1</v>
      </c>
      <c r="S17" s="20">
        <f t="shared" si="14"/>
        <v>1</v>
      </c>
      <c r="T17" s="16"/>
      <c r="U17" s="16"/>
      <c r="V17" s="21" t="s">
        <v>123</v>
      </c>
      <c r="W17" s="21" t="s">
        <v>123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>
      <c r="A18" s="23">
        <f t="shared" si="4"/>
        <v>15</v>
      </c>
      <c r="B18" s="15" t="s">
        <v>173</v>
      </c>
      <c r="C18" s="16" t="s">
        <v>174</v>
      </c>
      <c r="D18" s="16" t="s">
        <v>165</v>
      </c>
      <c r="E18" s="16" t="s">
        <v>166</v>
      </c>
      <c r="F18" s="16" t="s">
        <v>175</v>
      </c>
      <c r="G18" s="17" t="s">
        <v>121</v>
      </c>
      <c r="H18" s="17" t="s">
        <v>122</v>
      </c>
      <c r="I18" s="16" t="s">
        <v>40</v>
      </c>
      <c r="J18" s="18">
        <v>1.0</v>
      </c>
      <c r="K18" s="20"/>
      <c r="L18" s="19" t="s">
        <v>176</v>
      </c>
      <c r="M18" s="20"/>
      <c r="N18" s="20"/>
      <c r="O18" s="19"/>
      <c r="P18" s="20">
        <f t="shared" si="5"/>
        <v>1</v>
      </c>
      <c r="Q18" s="25"/>
      <c r="R18" s="20"/>
      <c r="S18" s="20" t="str">
        <f t="shared" si="14"/>
        <v/>
      </c>
      <c r="T18" s="16"/>
      <c r="U18" s="16"/>
      <c r="V18" s="21" t="s">
        <v>130</v>
      </c>
      <c r="W18" s="21" t="s">
        <v>130</v>
      </c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>
      <c r="A19" s="23">
        <f t="shared" si="4"/>
        <v>16</v>
      </c>
      <c r="B19" s="15" t="s">
        <v>177</v>
      </c>
      <c r="C19" s="16" t="s">
        <v>178</v>
      </c>
      <c r="D19" s="16" t="s">
        <v>165</v>
      </c>
      <c r="E19" s="16" t="s">
        <v>179</v>
      </c>
      <c r="F19" s="16" t="s">
        <v>180</v>
      </c>
      <c r="G19" s="17" t="s">
        <v>121</v>
      </c>
      <c r="H19" s="17" t="s">
        <v>129</v>
      </c>
      <c r="I19" s="16" t="s">
        <v>40</v>
      </c>
      <c r="J19" s="18"/>
      <c r="K19" s="20" t="str">
        <f t="shared" ref="K19:K22" si="15">if(and(I19="Cao Bằng",J19=1),1,"")</f>
        <v/>
      </c>
      <c r="L19" s="20"/>
      <c r="M19" s="20" t="s">
        <v>155</v>
      </c>
      <c r="N19" s="20"/>
      <c r="O19" s="19"/>
      <c r="P19" s="20"/>
      <c r="Q19" s="20"/>
      <c r="R19" s="20"/>
      <c r="S19" s="20"/>
      <c r="T19" s="16"/>
      <c r="U19" s="17" t="s">
        <v>181</v>
      </c>
      <c r="V19" s="21" t="s">
        <v>123</v>
      </c>
      <c r="W19" s="21" t="s">
        <v>123</v>
      </c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>
      <c r="A20" s="23">
        <f t="shared" si="4"/>
        <v>17</v>
      </c>
      <c r="B20" s="24">
        <v>109.0</v>
      </c>
      <c r="C20" s="16" t="s">
        <v>182</v>
      </c>
      <c r="D20" s="16" t="s">
        <v>165</v>
      </c>
      <c r="E20" s="16" t="s">
        <v>179</v>
      </c>
      <c r="F20" s="16" t="s">
        <v>180</v>
      </c>
      <c r="G20" s="17" t="s">
        <v>121</v>
      </c>
      <c r="H20" s="17" t="s">
        <v>129</v>
      </c>
      <c r="I20" s="16" t="s">
        <v>40</v>
      </c>
      <c r="J20" s="18"/>
      <c r="K20" s="20" t="str">
        <f t="shared" si="15"/>
        <v/>
      </c>
      <c r="L20" s="20"/>
      <c r="M20" s="20" t="s">
        <v>155</v>
      </c>
      <c r="N20" s="20"/>
      <c r="O20" s="19"/>
      <c r="P20" s="20"/>
      <c r="Q20" s="20"/>
      <c r="R20" s="20"/>
      <c r="S20" s="20"/>
      <c r="T20" s="16"/>
      <c r="U20" s="17" t="s">
        <v>181</v>
      </c>
      <c r="V20" s="21" t="s">
        <v>183</v>
      </c>
      <c r="W20" s="21" t="s">
        <v>183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>
      <c r="A21" s="23">
        <f t="shared" si="4"/>
        <v>18</v>
      </c>
      <c r="B21" s="15" t="s">
        <v>184</v>
      </c>
      <c r="C21" s="16" t="s">
        <v>185</v>
      </c>
      <c r="D21" s="16" t="s">
        <v>165</v>
      </c>
      <c r="E21" s="16" t="s">
        <v>179</v>
      </c>
      <c r="F21" s="16" t="s">
        <v>186</v>
      </c>
      <c r="G21" s="17" t="s">
        <v>121</v>
      </c>
      <c r="H21" s="17" t="s">
        <v>129</v>
      </c>
      <c r="I21" s="16" t="s">
        <v>40</v>
      </c>
      <c r="J21" s="18">
        <v>1.0</v>
      </c>
      <c r="K21" s="20">
        <f t="shared" si="15"/>
        <v>1</v>
      </c>
      <c r="L21" s="20"/>
      <c r="M21" s="20">
        <v>1.0</v>
      </c>
      <c r="N21" s="20">
        <f>if(and(I21="Cao Bằng",J21=1),1,"")</f>
        <v>1</v>
      </c>
      <c r="O21" s="19">
        <f>if(J21=1,1,"")</f>
        <v>1</v>
      </c>
      <c r="P21" s="20">
        <f>if(J21=1,1,"")</f>
        <v>1</v>
      </c>
      <c r="Q21" s="20">
        <f>if(J21=1,1,"")</f>
        <v>1</v>
      </c>
      <c r="R21" s="20">
        <f>Q21</f>
        <v>1</v>
      </c>
      <c r="S21" s="20">
        <f>N21</f>
        <v>1</v>
      </c>
      <c r="T21" s="16"/>
      <c r="U21" s="16"/>
      <c r="V21" s="21" t="s">
        <v>130</v>
      </c>
      <c r="W21" s="21" t="s">
        <v>130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>
      <c r="A22" s="23">
        <f t="shared" si="4"/>
        <v>19</v>
      </c>
      <c r="B22" s="15" t="s">
        <v>187</v>
      </c>
      <c r="C22" s="16" t="s">
        <v>188</v>
      </c>
      <c r="D22" s="16" t="s">
        <v>189</v>
      </c>
      <c r="E22" s="16" t="s">
        <v>190</v>
      </c>
      <c r="F22" s="16" t="s">
        <v>191</v>
      </c>
      <c r="G22" s="17" t="s">
        <v>121</v>
      </c>
      <c r="H22" s="17" t="s">
        <v>129</v>
      </c>
      <c r="I22" s="16" t="s">
        <v>40</v>
      </c>
      <c r="J22" s="18"/>
      <c r="K22" s="20" t="str">
        <f t="shared" si="15"/>
        <v/>
      </c>
      <c r="L22" s="20"/>
      <c r="M22" s="20" t="s">
        <v>155</v>
      </c>
      <c r="N22" s="20"/>
      <c r="O22" s="19"/>
      <c r="P22" s="20"/>
      <c r="Q22" s="20"/>
      <c r="R22" s="20"/>
      <c r="S22" s="20"/>
      <c r="T22" s="16"/>
      <c r="U22" s="17" t="s">
        <v>192</v>
      </c>
      <c r="V22" s="21" t="s">
        <v>123</v>
      </c>
      <c r="W22" s="21" t="s">
        <v>123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>
      <c r="A23" s="23">
        <f t="shared" si="4"/>
        <v>20</v>
      </c>
      <c r="B23" s="15" t="s">
        <v>193</v>
      </c>
      <c r="C23" s="16" t="s">
        <v>194</v>
      </c>
      <c r="D23" s="16" t="s">
        <v>189</v>
      </c>
      <c r="E23" s="16" t="s">
        <v>190</v>
      </c>
      <c r="F23" s="16" t="s">
        <v>191</v>
      </c>
      <c r="G23" s="17" t="s">
        <v>121</v>
      </c>
      <c r="H23" s="17" t="s">
        <v>129</v>
      </c>
      <c r="I23" s="16" t="s">
        <v>40</v>
      </c>
      <c r="J23" s="18"/>
      <c r="K23" s="20"/>
      <c r="L23" s="20"/>
      <c r="M23" s="20"/>
      <c r="N23" s="20"/>
      <c r="O23" s="19"/>
      <c r="P23" s="20"/>
      <c r="Q23" s="20"/>
      <c r="R23" s="20"/>
      <c r="S23" s="20"/>
      <c r="T23" s="16"/>
      <c r="U23" s="17" t="s">
        <v>195</v>
      </c>
      <c r="V23" s="21" t="s">
        <v>130</v>
      </c>
      <c r="W23" s="21" t="s">
        <v>130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>
      <c r="A24" s="23">
        <f t="shared" si="4"/>
        <v>21</v>
      </c>
      <c r="B24" s="24">
        <v>106.0</v>
      </c>
      <c r="C24" s="16" t="s">
        <v>196</v>
      </c>
      <c r="D24" s="16" t="s">
        <v>197</v>
      </c>
      <c r="E24" s="16" t="s">
        <v>198</v>
      </c>
      <c r="F24" s="16" t="s">
        <v>199</v>
      </c>
      <c r="G24" s="17" t="s">
        <v>121</v>
      </c>
      <c r="H24" s="17" t="s">
        <v>122</v>
      </c>
      <c r="I24" s="16" t="s">
        <v>40</v>
      </c>
      <c r="J24" s="18">
        <v>1.0</v>
      </c>
      <c r="K24" s="20">
        <f t="shared" ref="K24:K42" si="16">if(and(I24="Cao Bằng",J24=1),1,"")</f>
        <v>1</v>
      </c>
      <c r="L24" s="20"/>
      <c r="M24" s="20">
        <v>1.0</v>
      </c>
      <c r="N24" s="20">
        <f t="shared" ref="N24:N42" si="17">if(and(I24="Cao Bằng",J24=1),1,"")</f>
        <v>1</v>
      </c>
      <c r="O24" s="19">
        <f t="shared" ref="O24:O42" si="18">if(J24=1,1,"")</f>
        <v>1</v>
      </c>
      <c r="P24" s="20">
        <f t="shared" ref="P24:P42" si="19">if(J24=1,1,"")</f>
        <v>1</v>
      </c>
      <c r="Q24" s="20">
        <f t="shared" ref="Q24:Q42" si="20">if(J24=1,1,"")</f>
        <v>1</v>
      </c>
      <c r="R24" s="20">
        <f t="shared" ref="R24:R42" si="21">Q24</f>
        <v>1</v>
      </c>
      <c r="S24" s="20">
        <f t="shared" ref="S24:S42" si="22">N24</f>
        <v>1</v>
      </c>
      <c r="T24" s="16"/>
      <c r="U24" s="16"/>
      <c r="V24" s="21" t="s">
        <v>130</v>
      </c>
      <c r="W24" s="21" t="s">
        <v>130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>
      <c r="A25" s="23">
        <f t="shared" si="4"/>
        <v>22</v>
      </c>
      <c r="B25" s="15" t="s">
        <v>200</v>
      </c>
      <c r="C25" s="16" t="s">
        <v>201</v>
      </c>
      <c r="D25" s="16" t="s">
        <v>197</v>
      </c>
      <c r="E25" s="16" t="s">
        <v>198</v>
      </c>
      <c r="F25" s="16" t="s">
        <v>202</v>
      </c>
      <c r="G25" s="17" t="s">
        <v>121</v>
      </c>
      <c r="H25" s="17" t="s">
        <v>122</v>
      </c>
      <c r="I25" s="16" t="s">
        <v>40</v>
      </c>
      <c r="J25" s="18">
        <v>1.0</v>
      </c>
      <c r="K25" s="20">
        <f t="shared" si="16"/>
        <v>1</v>
      </c>
      <c r="L25" s="20"/>
      <c r="M25" s="20">
        <v>1.0</v>
      </c>
      <c r="N25" s="20">
        <f t="shared" si="17"/>
        <v>1</v>
      </c>
      <c r="O25" s="19">
        <f t="shared" si="18"/>
        <v>1</v>
      </c>
      <c r="P25" s="20">
        <f t="shared" si="19"/>
        <v>1</v>
      </c>
      <c r="Q25" s="20">
        <f t="shared" si="20"/>
        <v>1</v>
      </c>
      <c r="R25" s="20">
        <f t="shared" si="21"/>
        <v>1</v>
      </c>
      <c r="S25" s="20">
        <f t="shared" si="22"/>
        <v>1</v>
      </c>
      <c r="T25" s="16"/>
      <c r="U25" s="16"/>
      <c r="V25" s="21" t="s">
        <v>123</v>
      </c>
      <c r="W25" s="21" t="s">
        <v>123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>
      <c r="A26" s="23">
        <f t="shared" si="4"/>
        <v>23</v>
      </c>
      <c r="B26" s="15" t="s">
        <v>203</v>
      </c>
      <c r="C26" s="16" t="s">
        <v>204</v>
      </c>
      <c r="D26" s="16" t="s">
        <v>197</v>
      </c>
      <c r="E26" s="16" t="s">
        <v>205</v>
      </c>
      <c r="F26" s="16" t="s">
        <v>206</v>
      </c>
      <c r="G26" s="17" t="s">
        <v>121</v>
      </c>
      <c r="H26" s="17" t="s">
        <v>122</v>
      </c>
      <c r="I26" s="16" t="s">
        <v>40</v>
      </c>
      <c r="J26" s="18">
        <v>1.0</v>
      </c>
      <c r="K26" s="20">
        <f t="shared" si="16"/>
        <v>1</v>
      </c>
      <c r="L26" s="20"/>
      <c r="M26" s="20">
        <v>1.0</v>
      </c>
      <c r="N26" s="20">
        <f t="shared" si="17"/>
        <v>1</v>
      </c>
      <c r="O26" s="19">
        <f t="shared" si="18"/>
        <v>1</v>
      </c>
      <c r="P26" s="20">
        <f t="shared" si="19"/>
        <v>1</v>
      </c>
      <c r="Q26" s="20">
        <f t="shared" si="20"/>
        <v>1</v>
      </c>
      <c r="R26" s="20">
        <f t="shared" si="21"/>
        <v>1</v>
      </c>
      <c r="S26" s="20">
        <f t="shared" si="22"/>
        <v>1</v>
      </c>
      <c r="T26" s="16"/>
      <c r="U26" s="16"/>
      <c r="V26" s="21" t="s">
        <v>130</v>
      </c>
      <c r="W26" s="21" t="s">
        <v>130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>
      <c r="A27" s="23">
        <f t="shared" si="4"/>
        <v>24</v>
      </c>
      <c r="B27" s="15" t="s">
        <v>207</v>
      </c>
      <c r="C27" s="16" t="s">
        <v>208</v>
      </c>
      <c r="D27" s="16" t="s">
        <v>197</v>
      </c>
      <c r="E27" s="16" t="s">
        <v>205</v>
      </c>
      <c r="F27" s="16" t="s">
        <v>206</v>
      </c>
      <c r="G27" s="17" t="s">
        <v>121</v>
      </c>
      <c r="H27" s="17" t="s">
        <v>122</v>
      </c>
      <c r="I27" s="16" t="s">
        <v>40</v>
      </c>
      <c r="J27" s="18">
        <v>1.0</v>
      </c>
      <c r="K27" s="20">
        <f t="shared" si="16"/>
        <v>1</v>
      </c>
      <c r="L27" s="20"/>
      <c r="M27" s="20">
        <v>1.0</v>
      </c>
      <c r="N27" s="20">
        <f t="shared" si="17"/>
        <v>1</v>
      </c>
      <c r="O27" s="19">
        <f t="shared" si="18"/>
        <v>1</v>
      </c>
      <c r="P27" s="20">
        <f t="shared" si="19"/>
        <v>1</v>
      </c>
      <c r="Q27" s="20">
        <f t="shared" si="20"/>
        <v>1</v>
      </c>
      <c r="R27" s="20">
        <f t="shared" si="21"/>
        <v>1</v>
      </c>
      <c r="S27" s="20">
        <f t="shared" si="22"/>
        <v>1</v>
      </c>
      <c r="T27" s="16"/>
      <c r="U27" s="16"/>
      <c r="V27" s="21" t="s">
        <v>130</v>
      </c>
      <c r="W27" s="21" t="s">
        <v>130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>
      <c r="A28" s="26">
        <f t="shared" si="4"/>
        <v>25</v>
      </c>
      <c r="B28" s="27" t="s">
        <v>209</v>
      </c>
      <c r="C28" s="28" t="s">
        <v>210</v>
      </c>
      <c r="D28" s="28" t="s">
        <v>197</v>
      </c>
      <c r="E28" s="28" t="s">
        <v>205</v>
      </c>
      <c r="F28" s="28" t="s">
        <v>206</v>
      </c>
      <c r="G28" s="29" t="s">
        <v>121</v>
      </c>
      <c r="H28" s="29" t="s">
        <v>122</v>
      </c>
      <c r="I28" s="28" t="s">
        <v>40</v>
      </c>
      <c r="J28" s="30"/>
      <c r="K28" s="25" t="str">
        <f t="shared" si="16"/>
        <v/>
      </c>
      <c r="L28" s="25"/>
      <c r="M28" s="25"/>
      <c r="N28" s="25" t="str">
        <f t="shared" si="17"/>
        <v/>
      </c>
      <c r="O28" s="31" t="str">
        <f t="shared" si="18"/>
        <v/>
      </c>
      <c r="P28" s="25" t="str">
        <f t="shared" si="19"/>
        <v/>
      </c>
      <c r="Q28" s="25" t="str">
        <f t="shared" si="20"/>
        <v/>
      </c>
      <c r="R28" s="25" t="str">
        <f t="shared" si="21"/>
        <v/>
      </c>
      <c r="S28" s="25" t="str">
        <f t="shared" si="22"/>
        <v/>
      </c>
      <c r="T28" s="28"/>
      <c r="U28" s="28"/>
      <c r="V28" s="32" t="s">
        <v>130</v>
      </c>
      <c r="W28" s="32" t="s">
        <v>130</v>
      </c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</row>
    <row r="29">
      <c r="A29" s="23">
        <f t="shared" si="4"/>
        <v>26</v>
      </c>
      <c r="B29" s="15" t="s">
        <v>211</v>
      </c>
      <c r="C29" s="16" t="s">
        <v>212</v>
      </c>
      <c r="D29" s="16" t="s">
        <v>197</v>
      </c>
      <c r="E29" s="16" t="s">
        <v>205</v>
      </c>
      <c r="F29" s="16" t="s">
        <v>206</v>
      </c>
      <c r="G29" s="17" t="s">
        <v>121</v>
      </c>
      <c r="H29" s="17" t="s">
        <v>122</v>
      </c>
      <c r="I29" s="16" t="s">
        <v>40</v>
      </c>
      <c r="J29" s="18">
        <v>1.0</v>
      </c>
      <c r="K29" s="20">
        <f t="shared" si="16"/>
        <v>1</v>
      </c>
      <c r="L29" s="20"/>
      <c r="M29" s="20">
        <v>1.0</v>
      </c>
      <c r="N29" s="20">
        <f t="shared" si="17"/>
        <v>1</v>
      </c>
      <c r="O29" s="19">
        <f t="shared" si="18"/>
        <v>1</v>
      </c>
      <c r="P29" s="20">
        <f t="shared" si="19"/>
        <v>1</v>
      </c>
      <c r="Q29" s="20">
        <f t="shared" si="20"/>
        <v>1</v>
      </c>
      <c r="R29" s="20">
        <f t="shared" si="21"/>
        <v>1</v>
      </c>
      <c r="S29" s="20">
        <f t="shared" si="22"/>
        <v>1</v>
      </c>
      <c r="T29" s="16"/>
      <c r="U29" s="16"/>
      <c r="V29" s="21" t="s">
        <v>130</v>
      </c>
      <c r="W29" s="21" t="s">
        <v>130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</row>
    <row r="30">
      <c r="A30" s="26">
        <f t="shared" si="4"/>
        <v>27</v>
      </c>
      <c r="B30" s="27" t="s">
        <v>213</v>
      </c>
      <c r="C30" s="28" t="s">
        <v>214</v>
      </c>
      <c r="D30" s="28" t="s">
        <v>197</v>
      </c>
      <c r="E30" s="28" t="s">
        <v>205</v>
      </c>
      <c r="F30" s="28" t="s">
        <v>206</v>
      </c>
      <c r="G30" s="29" t="s">
        <v>121</v>
      </c>
      <c r="H30" s="29" t="s">
        <v>122</v>
      </c>
      <c r="I30" s="28" t="s">
        <v>40</v>
      </c>
      <c r="J30" s="30"/>
      <c r="K30" s="25" t="str">
        <f t="shared" si="16"/>
        <v/>
      </c>
      <c r="L30" s="25"/>
      <c r="M30" s="25"/>
      <c r="N30" s="25" t="str">
        <f t="shared" si="17"/>
        <v/>
      </c>
      <c r="O30" s="31" t="str">
        <f t="shared" si="18"/>
        <v/>
      </c>
      <c r="P30" s="25" t="str">
        <f t="shared" si="19"/>
        <v/>
      </c>
      <c r="Q30" s="25" t="str">
        <f t="shared" si="20"/>
        <v/>
      </c>
      <c r="R30" s="25" t="str">
        <f t="shared" si="21"/>
        <v/>
      </c>
      <c r="S30" s="25" t="str">
        <f t="shared" si="22"/>
        <v/>
      </c>
      <c r="T30" s="28"/>
      <c r="U30" s="28"/>
      <c r="V30" s="32" t="s">
        <v>130</v>
      </c>
      <c r="W30" s="32" t="s">
        <v>130</v>
      </c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</row>
    <row r="31">
      <c r="A31" s="23">
        <f t="shared" si="4"/>
        <v>28</v>
      </c>
      <c r="B31" s="24">
        <v>126.0</v>
      </c>
      <c r="C31" s="16" t="s">
        <v>215</v>
      </c>
      <c r="D31" s="16" t="s">
        <v>197</v>
      </c>
      <c r="E31" s="16" t="s">
        <v>205</v>
      </c>
      <c r="F31" s="16" t="s">
        <v>206</v>
      </c>
      <c r="G31" s="17" t="s">
        <v>121</v>
      </c>
      <c r="H31" s="17" t="s">
        <v>122</v>
      </c>
      <c r="I31" s="16" t="s">
        <v>40</v>
      </c>
      <c r="J31" s="18">
        <v>1.0</v>
      </c>
      <c r="K31" s="20">
        <f t="shared" si="16"/>
        <v>1</v>
      </c>
      <c r="L31" s="20"/>
      <c r="M31" s="20">
        <v>1.0</v>
      </c>
      <c r="N31" s="20">
        <f t="shared" si="17"/>
        <v>1</v>
      </c>
      <c r="O31" s="19">
        <f t="shared" si="18"/>
        <v>1</v>
      </c>
      <c r="P31" s="20">
        <f t="shared" si="19"/>
        <v>1</v>
      </c>
      <c r="Q31" s="20">
        <f t="shared" si="20"/>
        <v>1</v>
      </c>
      <c r="R31" s="20">
        <f t="shared" si="21"/>
        <v>1</v>
      </c>
      <c r="S31" s="20">
        <f t="shared" si="22"/>
        <v>1</v>
      </c>
      <c r="T31" s="16"/>
      <c r="U31" s="16"/>
      <c r="V31" s="21" t="s">
        <v>130</v>
      </c>
      <c r="W31" s="21" t="s">
        <v>130</v>
      </c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>
      <c r="A32" s="23">
        <f t="shared" si="4"/>
        <v>29</v>
      </c>
      <c r="B32" s="24">
        <v>133.0</v>
      </c>
      <c r="C32" s="16" t="s">
        <v>216</v>
      </c>
      <c r="D32" s="16" t="s">
        <v>197</v>
      </c>
      <c r="E32" s="16" t="s">
        <v>205</v>
      </c>
      <c r="F32" s="16" t="s">
        <v>206</v>
      </c>
      <c r="G32" s="17" t="s">
        <v>121</v>
      </c>
      <c r="H32" s="17" t="s">
        <v>129</v>
      </c>
      <c r="I32" s="16" t="s">
        <v>40</v>
      </c>
      <c r="J32" s="18">
        <v>1.0</v>
      </c>
      <c r="K32" s="20">
        <f t="shared" si="16"/>
        <v>1</v>
      </c>
      <c r="L32" s="20"/>
      <c r="M32" s="20">
        <v>1.0</v>
      </c>
      <c r="N32" s="20">
        <f t="shared" si="17"/>
        <v>1</v>
      </c>
      <c r="O32" s="19">
        <f t="shared" si="18"/>
        <v>1</v>
      </c>
      <c r="P32" s="20">
        <f t="shared" si="19"/>
        <v>1</v>
      </c>
      <c r="Q32" s="20">
        <f t="shared" si="20"/>
        <v>1</v>
      </c>
      <c r="R32" s="20">
        <f t="shared" si="21"/>
        <v>1</v>
      </c>
      <c r="S32" s="20">
        <f t="shared" si="22"/>
        <v>1</v>
      </c>
      <c r="T32" s="16"/>
      <c r="U32" s="16"/>
      <c r="V32" s="21" t="s">
        <v>130</v>
      </c>
      <c r="W32" s="21" t="s">
        <v>130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</row>
    <row r="33">
      <c r="A33" s="23">
        <f t="shared" si="4"/>
        <v>30</v>
      </c>
      <c r="B33" s="24">
        <v>134.0</v>
      </c>
      <c r="C33" s="16" t="s">
        <v>217</v>
      </c>
      <c r="D33" s="16" t="s">
        <v>197</v>
      </c>
      <c r="E33" s="16" t="s">
        <v>205</v>
      </c>
      <c r="F33" s="16" t="s">
        <v>206</v>
      </c>
      <c r="G33" s="17" t="s">
        <v>121</v>
      </c>
      <c r="H33" s="17" t="s">
        <v>129</v>
      </c>
      <c r="I33" s="16" t="s">
        <v>40</v>
      </c>
      <c r="J33" s="18">
        <v>1.0</v>
      </c>
      <c r="K33" s="20">
        <f t="shared" si="16"/>
        <v>1</v>
      </c>
      <c r="L33" s="20"/>
      <c r="M33" s="20">
        <v>1.0</v>
      </c>
      <c r="N33" s="20">
        <f t="shared" si="17"/>
        <v>1</v>
      </c>
      <c r="O33" s="19">
        <f t="shared" si="18"/>
        <v>1</v>
      </c>
      <c r="P33" s="20">
        <f t="shared" si="19"/>
        <v>1</v>
      </c>
      <c r="Q33" s="20">
        <f t="shared" si="20"/>
        <v>1</v>
      </c>
      <c r="R33" s="20">
        <f t="shared" si="21"/>
        <v>1</v>
      </c>
      <c r="S33" s="20">
        <f t="shared" si="22"/>
        <v>1</v>
      </c>
      <c r="T33" s="16"/>
      <c r="U33" s="16"/>
      <c r="V33" s="21" t="s">
        <v>130</v>
      </c>
      <c r="W33" s="21" t="s">
        <v>130</v>
      </c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</row>
    <row r="34">
      <c r="A34" s="23">
        <f t="shared" si="4"/>
        <v>31</v>
      </c>
      <c r="B34" s="24">
        <v>135.0</v>
      </c>
      <c r="C34" s="16" t="s">
        <v>218</v>
      </c>
      <c r="D34" s="16" t="s">
        <v>197</v>
      </c>
      <c r="E34" s="16" t="s">
        <v>205</v>
      </c>
      <c r="F34" s="16" t="s">
        <v>206</v>
      </c>
      <c r="G34" s="17" t="s">
        <v>121</v>
      </c>
      <c r="H34" s="17" t="s">
        <v>129</v>
      </c>
      <c r="I34" s="16" t="s">
        <v>40</v>
      </c>
      <c r="J34" s="18">
        <v>1.0</v>
      </c>
      <c r="K34" s="20">
        <f t="shared" si="16"/>
        <v>1</v>
      </c>
      <c r="L34" s="20"/>
      <c r="M34" s="20">
        <v>1.0</v>
      </c>
      <c r="N34" s="20">
        <f t="shared" si="17"/>
        <v>1</v>
      </c>
      <c r="O34" s="19">
        <f t="shared" si="18"/>
        <v>1</v>
      </c>
      <c r="P34" s="20">
        <f t="shared" si="19"/>
        <v>1</v>
      </c>
      <c r="Q34" s="20">
        <f t="shared" si="20"/>
        <v>1</v>
      </c>
      <c r="R34" s="20">
        <f t="shared" si="21"/>
        <v>1</v>
      </c>
      <c r="S34" s="20">
        <f t="shared" si="22"/>
        <v>1</v>
      </c>
      <c r="T34" s="16"/>
      <c r="U34" s="16"/>
      <c r="V34" s="21" t="s">
        <v>130</v>
      </c>
      <c r="W34" s="21" t="s">
        <v>130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</row>
    <row r="35">
      <c r="A35" s="23">
        <f t="shared" si="4"/>
        <v>32</v>
      </c>
      <c r="B35" s="24">
        <v>139.0</v>
      </c>
      <c r="C35" s="16" t="s">
        <v>219</v>
      </c>
      <c r="D35" s="16" t="s">
        <v>197</v>
      </c>
      <c r="E35" s="16" t="s">
        <v>205</v>
      </c>
      <c r="F35" s="16" t="s">
        <v>206</v>
      </c>
      <c r="G35" s="17" t="s">
        <v>121</v>
      </c>
      <c r="H35" s="17" t="s">
        <v>129</v>
      </c>
      <c r="I35" s="16" t="s">
        <v>40</v>
      </c>
      <c r="J35" s="18">
        <v>1.0</v>
      </c>
      <c r="K35" s="20">
        <f t="shared" si="16"/>
        <v>1</v>
      </c>
      <c r="L35" s="20"/>
      <c r="M35" s="20">
        <v>1.0</v>
      </c>
      <c r="N35" s="20">
        <f t="shared" si="17"/>
        <v>1</v>
      </c>
      <c r="O35" s="19">
        <f t="shared" si="18"/>
        <v>1</v>
      </c>
      <c r="P35" s="20">
        <f t="shared" si="19"/>
        <v>1</v>
      </c>
      <c r="Q35" s="20">
        <f t="shared" si="20"/>
        <v>1</v>
      </c>
      <c r="R35" s="20">
        <f t="shared" si="21"/>
        <v>1</v>
      </c>
      <c r="S35" s="20">
        <f t="shared" si="22"/>
        <v>1</v>
      </c>
      <c r="T35" s="16"/>
      <c r="U35" s="16"/>
      <c r="V35" s="21" t="s">
        <v>130</v>
      </c>
      <c r="W35" s="21" t="s">
        <v>130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</row>
    <row r="36">
      <c r="A36" s="23">
        <f t="shared" si="4"/>
        <v>33</v>
      </c>
      <c r="B36" s="15" t="s">
        <v>220</v>
      </c>
      <c r="C36" s="16" t="s">
        <v>221</v>
      </c>
      <c r="D36" s="16" t="s">
        <v>197</v>
      </c>
      <c r="E36" s="16" t="s">
        <v>205</v>
      </c>
      <c r="F36" s="16" t="s">
        <v>222</v>
      </c>
      <c r="G36" s="17" t="s">
        <v>121</v>
      </c>
      <c r="H36" s="17" t="s">
        <v>122</v>
      </c>
      <c r="I36" s="16" t="s">
        <v>40</v>
      </c>
      <c r="J36" s="18">
        <v>1.0</v>
      </c>
      <c r="K36" s="20">
        <f t="shared" si="16"/>
        <v>1</v>
      </c>
      <c r="L36" s="20"/>
      <c r="M36" s="20">
        <v>1.0</v>
      </c>
      <c r="N36" s="20">
        <f t="shared" si="17"/>
        <v>1</v>
      </c>
      <c r="O36" s="19">
        <f t="shared" si="18"/>
        <v>1</v>
      </c>
      <c r="P36" s="20">
        <f t="shared" si="19"/>
        <v>1</v>
      </c>
      <c r="Q36" s="20">
        <f t="shared" si="20"/>
        <v>1</v>
      </c>
      <c r="R36" s="20">
        <f t="shared" si="21"/>
        <v>1</v>
      </c>
      <c r="S36" s="20">
        <f t="shared" si="22"/>
        <v>1</v>
      </c>
      <c r="T36" s="16"/>
      <c r="U36" s="16"/>
      <c r="V36" s="21" t="s">
        <v>123</v>
      </c>
      <c r="W36" s="21" t="s">
        <v>123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</row>
    <row r="37">
      <c r="A37" s="23">
        <f t="shared" si="4"/>
        <v>34</v>
      </c>
      <c r="B37" s="15" t="s">
        <v>223</v>
      </c>
      <c r="C37" s="16" t="s">
        <v>224</v>
      </c>
      <c r="D37" s="16" t="s">
        <v>197</v>
      </c>
      <c r="E37" s="16" t="s">
        <v>205</v>
      </c>
      <c r="F37" s="16" t="s">
        <v>222</v>
      </c>
      <c r="G37" s="17" t="s">
        <v>121</v>
      </c>
      <c r="H37" s="17" t="s">
        <v>122</v>
      </c>
      <c r="I37" s="16" t="s">
        <v>40</v>
      </c>
      <c r="J37" s="18">
        <v>1.0</v>
      </c>
      <c r="K37" s="20">
        <f t="shared" si="16"/>
        <v>1</v>
      </c>
      <c r="L37" s="20"/>
      <c r="M37" s="20">
        <v>1.0</v>
      </c>
      <c r="N37" s="20">
        <f t="shared" si="17"/>
        <v>1</v>
      </c>
      <c r="O37" s="19">
        <f t="shared" si="18"/>
        <v>1</v>
      </c>
      <c r="P37" s="20">
        <f t="shared" si="19"/>
        <v>1</v>
      </c>
      <c r="Q37" s="20">
        <f t="shared" si="20"/>
        <v>1</v>
      </c>
      <c r="R37" s="20">
        <f t="shared" si="21"/>
        <v>1</v>
      </c>
      <c r="S37" s="20">
        <f t="shared" si="22"/>
        <v>1</v>
      </c>
      <c r="T37" s="16"/>
      <c r="U37" s="16"/>
      <c r="V37" s="21" t="s">
        <v>123</v>
      </c>
      <c r="W37" s="21" t="s">
        <v>123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</row>
    <row r="38">
      <c r="A38" s="23">
        <f t="shared" si="4"/>
        <v>35</v>
      </c>
      <c r="B38" s="15" t="s">
        <v>225</v>
      </c>
      <c r="C38" s="16" t="s">
        <v>226</v>
      </c>
      <c r="D38" s="16" t="s">
        <v>197</v>
      </c>
      <c r="E38" s="16" t="s">
        <v>205</v>
      </c>
      <c r="F38" s="16" t="s">
        <v>227</v>
      </c>
      <c r="G38" s="17" t="s">
        <v>121</v>
      </c>
      <c r="H38" s="17" t="s">
        <v>122</v>
      </c>
      <c r="I38" s="16" t="s">
        <v>40</v>
      </c>
      <c r="J38" s="18">
        <v>1.0</v>
      </c>
      <c r="K38" s="20">
        <f t="shared" si="16"/>
        <v>1</v>
      </c>
      <c r="L38" s="20"/>
      <c r="M38" s="20">
        <v>1.0</v>
      </c>
      <c r="N38" s="20">
        <f t="shared" si="17"/>
        <v>1</v>
      </c>
      <c r="O38" s="19">
        <f t="shared" si="18"/>
        <v>1</v>
      </c>
      <c r="P38" s="20">
        <f t="shared" si="19"/>
        <v>1</v>
      </c>
      <c r="Q38" s="20">
        <f t="shared" si="20"/>
        <v>1</v>
      </c>
      <c r="R38" s="20">
        <f t="shared" si="21"/>
        <v>1</v>
      </c>
      <c r="S38" s="20">
        <f t="shared" si="22"/>
        <v>1</v>
      </c>
      <c r="T38" s="16"/>
      <c r="U38" s="16"/>
      <c r="V38" s="21" t="s">
        <v>123</v>
      </c>
      <c r="W38" s="21" t="s">
        <v>123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</row>
    <row r="39">
      <c r="A39" s="23">
        <f t="shared" si="4"/>
        <v>36</v>
      </c>
      <c r="B39" s="15" t="s">
        <v>228</v>
      </c>
      <c r="C39" s="16" t="s">
        <v>229</v>
      </c>
      <c r="D39" s="16" t="s">
        <v>197</v>
      </c>
      <c r="E39" s="16" t="s">
        <v>205</v>
      </c>
      <c r="F39" s="16" t="s">
        <v>230</v>
      </c>
      <c r="G39" s="17" t="s">
        <v>121</v>
      </c>
      <c r="H39" s="17" t="s">
        <v>122</v>
      </c>
      <c r="I39" s="16" t="s">
        <v>40</v>
      </c>
      <c r="J39" s="18">
        <v>1.0</v>
      </c>
      <c r="K39" s="20">
        <f t="shared" si="16"/>
        <v>1</v>
      </c>
      <c r="L39" s="20"/>
      <c r="M39" s="20">
        <v>1.0</v>
      </c>
      <c r="N39" s="20">
        <f t="shared" si="17"/>
        <v>1</v>
      </c>
      <c r="O39" s="19">
        <f t="shared" si="18"/>
        <v>1</v>
      </c>
      <c r="P39" s="20">
        <f t="shared" si="19"/>
        <v>1</v>
      </c>
      <c r="Q39" s="20">
        <f t="shared" si="20"/>
        <v>1</v>
      </c>
      <c r="R39" s="20">
        <f t="shared" si="21"/>
        <v>1</v>
      </c>
      <c r="S39" s="20">
        <f t="shared" si="22"/>
        <v>1</v>
      </c>
      <c r="T39" s="16"/>
      <c r="U39" s="16"/>
      <c r="V39" s="21" t="s">
        <v>123</v>
      </c>
      <c r="W39" s="21" t="s">
        <v>123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</row>
    <row r="40">
      <c r="A40" s="23">
        <f t="shared" si="4"/>
        <v>37</v>
      </c>
      <c r="B40" s="15" t="s">
        <v>231</v>
      </c>
      <c r="C40" s="16" t="s">
        <v>232</v>
      </c>
      <c r="D40" s="16" t="s">
        <v>197</v>
      </c>
      <c r="E40" s="16" t="s">
        <v>205</v>
      </c>
      <c r="F40" s="16" t="s">
        <v>233</v>
      </c>
      <c r="G40" s="17" t="s">
        <v>121</v>
      </c>
      <c r="H40" s="17" t="s">
        <v>122</v>
      </c>
      <c r="I40" s="16" t="s">
        <v>40</v>
      </c>
      <c r="J40" s="18"/>
      <c r="K40" s="20" t="str">
        <f t="shared" si="16"/>
        <v/>
      </c>
      <c r="L40" s="20"/>
      <c r="M40" s="20"/>
      <c r="N40" s="20" t="str">
        <f t="shared" si="17"/>
        <v/>
      </c>
      <c r="O40" s="19" t="str">
        <f t="shared" si="18"/>
        <v/>
      </c>
      <c r="P40" s="20" t="str">
        <f t="shared" si="19"/>
        <v/>
      </c>
      <c r="Q40" s="20" t="str">
        <f t="shared" si="20"/>
        <v/>
      </c>
      <c r="R40" s="20" t="str">
        <f t="shared" si="21"/>
        <v/>
      </c>
      <c r="S40" s="20" t="str">
        <f t="shared" si="22"/>
        <v/>
      </c>
      <c r="T40" s="16"/>
      <c r="U40" s="16"/>
      <c r="V40" s="21" t="s">
        <v>123</v>
      </c>
      <c r="W40" s="21" t="s">
        <v>123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</row>
    <row r="41">
      <c r="A41" s="23">
        <f t="shared" si="4"/>
        <v>38</v>
      </c>
      <c r="B41" s="24">
        <v>130.0</v>
      </c>
      <c r="C41" s="16" t="s">
        <v>234</v>
      </c>
      <c r="D41" s="16" t="s">
        <v>197</v>
      </c>
      <c r="E41" s="16" t="s">
        <v>127</v>
      </c>
      <c r="F41" s="16" t="s">
        <v>235</v>
      </c>
      <c r="G41" s="17" t="s">
        <v>121</v>
      </c>
      <c r="H41" s="17" t="s">
        <v>122</v>
      </c>
      <c r="I41" s="16" t="s">
        <v>40</v>
      </c>
      <c r="J41" s="18">
        <v>1.0</v>
      </c>
      <c r="K41" s="20">
        <f t="shared" si="16"/>
        <v>1</v>
      </c>
      <c r="L41" s="20"/>
      <c r="M41" s="20">
        <v>1.0</v>
      </c>
      <c r="N41" s="20">
        <f t="shared" si="17"/>
        <v>1</v>
      </c>
      <c r="O41" s="19">
        <f t="shared" si="18"/>
        <v>1</v>
      </c>
      <c r="P41" s="20">
        <f t="shared" si="19"/>
        <v>1</v>
      </c>
      <c r="Q41" s="20">
        <f t="shared" si="20"/>
        <v>1</v>
      </c>
      <c r="R41" s="20">
        <f t="shared" si="21"/>
        <v>1</v>
      </c>
      <c r="S41" s="20">
        <f t="shared" si="22"/>
        <v>1</v>
      </c>
      <c r="T41" s="16"/>
      <c r="U41" s="16"/>
      <c r="V41" s="21" t="s">
        <v>130</v>
      </c>
      <c r="W41" s="21" t="s">
        <v>130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</row>
    <row r="42">
      <c r="A42" s="23">
        <f t="shared" si="4"/>
        <v>39</v>
      </c>
      <c r="B42" s="15" t="s">
        <v>236</v>
      </c>
      <c r="C42" s="16" t="s">
        <v>237</v>
      </c>
      <c r="D42" s="16" t="s">
        <v>197</v>
      </c>
      <c r="E42" s="16" t="s">
        <v>127</v>
      </c>
      <c r="F42" s="16" t="s">
        <v>238</v>
      </c>
      <c r="G42" s="17" t="s">
        <v>121</v>
      </c>
      <c r="H42" s="17" t="s">
        <v>122</v>
      </c>
      <c r="I42" s="16" t="s">
        <v>40</v>
      </c>
      <c r="J42" s="18">
        <v>1.0</v>
      </c>
      <c r="K42" s="20">
        <f t="shared" si="16"/>
        <v>1</v>
      </c>
      <c r="L42" s="20"/>
      <c r="M42" s="20">
        <v>1.0</v>
      </c>
      <c r="N42" s="20">
        <f t="shared" si="17"/>
        <v>1</v>
      </c>
      <c r="O42" s="19">
        <f t="shared" si="18"/>
        <v>1</v>
      </c>
      <c r="P42" s="20">
        <f t="shared" si="19"/>
        <v>1</v>
      </c>
      <c r="Q42" s="20">
        <f t="shared" si="20"/>
        <v>1</v>
      </c>
      <c r="R42" s="20">
        <f t="shared" si="21"/>
        <v>1</v>
      </c>
      <c r="S42" s="20">
        <f t="shared" si="22"/>
        <v>1</v>
      </c>
      <c r="T42" s="16"/>
      <c r="U42" s="16"/>
      <c r="V42" s="21" t="s">
        <v>123</v>
      </c>
      <c r="W42" s="21" t="s">
        <v>123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</row>
    <row r="43">
      <c r="A43" s="34">
        <f t="shared" si="4"/>
        <v>40</v>
      </c>
      <c r="B43" s="35" t="s">
        <v>239</v>
      </c>
      <c r="C43" s="36" t="s">
        <v>240</v>
      </c>
      <c r="D43" s="36" t="s">
        <v>197</v>
      </c>
      <c r="E43" s="36" t="s">
        <v>119</v>
      </c>
      <c r="F43" s="36" t="s">
        <v>241</v>
      </c>
      <c r="G43" s="37" t="s">
        <v>121</v>
      </c>
      <c r="H43" s="37" t="s">
        <v>122</v>
      </c>
      <c r="I43" s="36" t="s">
        <v>40</v>
      </c>
      <c r="J43" s="38">
        <v>1.0</v>
      </c>
      <c r="K43" s="39">
        <v>1.0</v>
      </c>
      <c r="L43" s="40"/>
      <c r="M43" s="40" t="s">
        <v>155</v>
      </c>
      <c r="N43" s="39">
        <v>1.0</v>
      </c>
      <c r="O43" s="39">
        <v>1.0</v>
      </c>
      <c r="P43" s="39">
        <v>1.0</v>
      </c>
      <c r="Q43" s="39">
        <v>1.0</v>
      </c>
      <c r="R43" s="39">
        <v>1.0</v>
      </c>
      <c r="S43" s="39">
        <v>1.0</v>
      </c>
      <c r="T43" s="36"/>
      <c r="U43" s="37" t="s">
        <v>242</v>
      </c>
      <c r="V43" s="41" t="s">
        <v>151</v>
      </c>
      <c r="W43" s="41" t="s">
        <v>130</v>
      </c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</row>
    <row r="44">
      <c r="A44" s="23">
        <f t="shared" si="4"/>
        <v>41</v>
      </c>
      <c r="B44" s="15" t="s">
        <v>243</v>
      </c>
      <c r="C44" s="16" t="s">
        <v>244</v>
      </c>
      <c r="D44" s="16" t="s">
        <v>197</v>
      </c>
      <c r="E44" s="16" t="s">
        <v>119</v>
      </c>
      <c r="F44" s="16" t="s">
        <v>245</v>
      </c>
      <c r="G44" s="17" t="s">
        <v>121</v>
      </c>
      <c r="H44" s="17" t="s">
        <v>122</v>
      </c>
      <c r="I44" s="17" t="s">
        <v>41</v>
      </c>
      <c r="J44" s="18"/>
      <c r="K44" s="20" t="str">
        <f t="shared" ref="K44:K47" si="24">if(and(I44="Cao Bằng",J44=1),1,"")</f>
        <v/>
      </c>
      <c r="L44" s="20"/>
      <c r="M44" s="20" t="s">
        <v>155</v>
      </c>
      <c r="N44" s="20"/>
      <c r="O44" s="19">
        <v>1.0</v>
      </c>
      <c r="P44" s="19">
        <v>1.0</v>
      </c>
      <c r="Q44" s="20" t="str">
        <f t="shared" ref="Q44:S44" si="23">L44</f>
        <v/>
      </c>
      <c r="R44" s="20" t="str">
        <f t="shared" si="23"/>
        <v/>
      </c>
      <c r="S44" s="20" t="str">
        <f t="shared" si="23"/>
        <v/>
      </c>
      <c r="T44" s="16"/>
      <c r="U44" s="17" t="s">
        <v>246</v>
      </c>
      <c r="V44" s="21" t="s">
        <v>123</v>
      </c>
      <c r="W44" s="21" t="s">
        <v>123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</row>
    <row r="45">
      <c r="A45" s="23">
        <f t="shared" si="4"/>
        <v>42</v>
      </c>
      <c r="B45" s="15" t="s">
        <v>247</v>
      </c>
      <c r="C45" s="16" t="s">
        <v>248</v>
      </c>
      <c r="D45" s="16" t="s">
        <v>197</v>
      </c>
      <c r="E45" s="16" t="s">
        <v>249</v>
      </c>
      <c r="F45" s="16" t="s">
        <v>250</v>
      </c>
      <c r="G45" s="17" t="s">
        <v>121</v>
      </c>
      <c r="H45" s="17" t="s">
        <v>122</v>
      </c>
      <c r="I45" s="16" t="s">
        <v>40</v>
      </c>
      <c r="J45" s="18">
        <v>1.0</v>
      </c>
      <c r="K45" s="20">
        <f t="shared" si="24"/>
        <v>1</v>
      </c>
      <c r="L45" s="20"/>
      <c r="M45" s="20">
        <v>1.0</v>
      </c>
      <c r="N45" s="20">
        <f t="shared" ref="N45:N47" si="25">if(and(I45="Cao Bằng",J45=1),1,"")</f>
        <v>1</v>
      </c>
      <c r="O45" s="19">
        <f t="shared" ref="O45:O47" si="26">if(J45=1,1,"")</f>
        <v>1</v>
      </c>
      <c r="P45" s="20">
        <f t="shared" ref="P45:P76" si="27">if(J45=1,1,"")</f>
        <v>1</v>
      </c>
      <c r="Q45" s="20">
        <f t="shared" ref="Q45:Q47" si="28">if(J45=1,1,"")</f>
        <v>1</v>
      </c>
      <c r="R45" s="20">
        <f t="shared" ref="R45:R47" si="29">Q45</f>
        <v>1</v>
      </c>
      <c r="S45" s="20">
        <f t="shared" ref="S45:S72" si="30">N45</f>
        <v>1</v>
      </c>
      <c r="T45" s="16"/>
      <c r="U45" s="16"/>
      <c r="V45" s="21" t="s">
        <v>123</v>
      </c>
      <c r="W45" s="21" t="s">
        <v>123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</row>
    <row r="46">
      <c r="A46" s="23">
        <f t="shared" si="4"/>
        <v>43</v>
      </c>
      <c r="B46" s="24">
        <v>129.0</v>
      </c>
      <c r="C46" s="16" t="s">
        <v>251</v>
      </c>
      <c r="D46" s="16" t="s">
        <v>197</v>
      </c>
      <c r="E46" s="16" t="s">
        <v>249</v>
      </c>
      <c r="F46" s="16" t="s">
        <v>250</v>
      </c>
      <c r="G46" s="17" t="s">
        <v>121</v>
      </c>
      <c r="H46" s="17" t="s">
        <v>122</v>
      </c>
      <c r="I46" s="16" t="s">
        <v>40</v>
      </c>
      <c r="J46" s="18">
        <v>1.0</v>
      </c>
      <c r="K46" s="20">
        <f t="shared" si="24"/>
        <v>1</v>
      </c>
      <c r="L46" s="20"/>
      <c r="M46" s="20">
        <v>1.0</v>
      </c>
      <c r="N46" s="20">
        <f t="shared" si="25"/>
        <v>1</v>
      </c>
      <c r="O46" s="19">
        <f t="shared" si="26"/>
        <v>1</v>
      </c>
      <c r="P46" s="20">
        <f t="shared" si="27"/>
        <v>1</v>
      </c>
      <c r="Q46" s="20">
        <f t="shared" si="28"/>
        <v>1</v>
      </c>
      <c r="R46" s="20">
        <f t="shared" si="29"/>
        <v>1</v>
      </c>
      <c r="S46" s="20">
        <f t="shared" si="30"/>
        <v>1</v>
      </c>
      <c r="T46" s="16"/>
      <c r="U46" s="16"/>
      <c r="V46" s="21" t="s">
        <v>130</v>
      </c>
      <c r="W46" s="21" t="s">
        <v>130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</row>
    <row r="47">
      <c r="A47" s="23">
        <f t="shared" si="4"/>
        <v>44</v>
      </c>
      <c r="B47" s="24">
        <v>131.0</v>
      </c>
      <c r="C47" s="16" t="s">
        <v>252</v>
      </c>
      <c r="D47" s="16" t="s">
        <v>197</v>
      </c>
      <c r="E47" s="16" t="s">
        <v>249</v>
      </c>
      <c r="F47" s="16" t="s">
        <v>250</v>
      </c>
      <c r="G47" s="17" t="s">
        <v>121</v>
      </c>
      <c r="H47" s="17" t="s">
        <v>122</v>
      </c>
      <c r="I47" s="16" t="s">
        <v>40</v>
      </c>
      <c r="J47" s="18">
        <v>1.0</v>
      </c>
      <c r="K47" s="20">
        <f t="shared" si="24"/>
        <v>1</v>
      </c>
      <c r="L47" s="20"/>
      <c r="M47" s="20">
        <v>1.0</v>
      </c>
      <c r="N47" s="20">
        <f t="shared" si="25"/>
        <v>1</v>
      </c>
      <c r="O47" s="19">
        <f t="shared" si="26"/>
        <v>1</v>
      </c>
      <c r="P47" s="20">
        <f t="shared" si="27"/>
        <v>1</v>
      </c>
      <c r="Q47" s="20">
        <f t="shared" si="28"/>
        <v>1</v>
      </c>
      <c r="R47" s="20">
        <f t="shared" si="29"/>
        <v>1</v>
      </c>
      <c r="S47" s="20">
        <f t="shared" si="30"/>
        <v>1</v>
      </c>
      <c r="T47" s="16"/>
      <c r="U47" s="16"/>
      <c r="V47" s="21" t="s">
        <v>130</v>
      </c>
      <c r="W47" s="21" t="s">
        <v>130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</row>
    <row r="48">
      <c r="A48" s="23">
        <f t="shared" si="4"/>
        <v>45</v>
      </c>
      <c r="B48" s="15" t="s">
        <v>253</v>
      </c>
      <c r="C48" s="16" t="s">
        <v>254</v>
      </c>
      <c r="D48" s="16" t="s">
        <v>255</v>
      </c>
      <c r="E48" s="16" t="s">
        <v>119</v>
      </c>
      <c r="F48" s="16" t="s">
        <v>256</v>
      </c>
      <c r="G48" s="17" t="s">
        <v>121</v>
      </c>
      <c r="H48" s="17" t="s">
        <v>122</v>
      </c>
      <c r="I48" s="16" t="s">
        <v>40</v>
      </c>
      <c r="J48" s="18">
        <v>1.0</v>
      </c>
      <c r="K48" s="19"/>
      <c r="L48" s="19" t="s">
        <v>257</v>
      </c>
      <c r="M48" s="19"/>
      <c r="N48" s="20"/>
      <c r="O48" s="19"/>
      <c r="P48" s="20">
        <f t="shared" si="27"/>
        <v>1</v>
      </c>
      <c r="Q48" s="25"/>
      <c r="R48" s="25"/>
      <c r="S48" s="20" t="str">
        <f t="shared" si="30"/>
        <v/>
      </c>
      <c r="T48" s="16"/>
      <c r="U48" s="16"/>
      <c r="V48" s="21" t="s">
        <v>123</v>
      </c>
      <c r="W48" s="21" t="s">
        <v>123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</row>
    <row r="49">
      <c r="A49" s="23">
        <f t="shared" si="4"/>
        <v>46</v>
      </c>
      <c r="B49" s="24">
        <v>103.0</v>
      </c>
      <c r="C49" s="16" t="s">
        <v>258</v>
      </c>
      <c r="D49" s="16" t="s">
        <v>255</v>
      </c>
      <c r="E49" s="16" t="s">
        <v>255</v>
      </c>
      <c r="F49" s="16" t="s">
        <v>259</v>
      </c>
      <c r="G49" s="17" t="s">
        <v>121</v>
      </c>
      <c r="H49" s="17" t="s">
        <v>122</v>
      </c>
      <c r="I49" s="16" t="s">
        <v>40</v>
      </c>
      <c r="J49" s="18">
        <v>1.0</v>
      </c>
      <c r="K49" s="20">
        <f t="shared" ref="K49:K79" si="31">if(and(I49="Cao Bằng",J49=1),1,"")</f>
        <v>1</v>
      </c>
      <c r="L49" s="20"/>
      <c r="M49" s="20">
        <v>1.0</v>
      </c>
      <c r="N49" s="20">
        <f t="shared" ref="N49:N79" si="32">if(and(I49="Cao Bằng",J49=1),1,"")</f>
        <v>1</v>
      </c>
      <c r="O49" s="19">
        <f t="shared" ref="O49:O51" si="33">if(J49=1,1,"")</f>
        <v>1</v>
      </c>
      <c r="P49" s="20">
        <f t="shared" si="27"/>
        <v>1</v>
      </c>
      <c r="Q49" s="20">
        <f>if(J49=1,1,"")</f>
        <v>1</v>
      </c>
      <c r="R49" s="20">
        <f t="shared" ref="R49:R72" si="34">Q49</f>
        <v>1</v>
      </c>
      <c r="S49" s="20">
        <f t="shared" si="30"/>
        <v>1</v>
      </c>
      <c r="T49" s="16"/>
      <c r="U49" s="16"/>
      <c r="V49" s="21" t="s">
        <v>130</v>
      </c>
      <c r="W49" s="21" t="s">
        <v>130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</row>
    <row r="50">
      <c r="A50" s="23">
        <f t="shared" si="4"/>
        <v>47</v>
      </c>
      <c r="B50" s="15" t="s">
        <v>260</v>
      </c>
      <c r="C50" s="16" t="s">
        <v>261</v>
      </c>
      <c r="D50" s="16" t="s">
        <v>118</v>
      </c>
      <c r="E50" s="16" t="s">
        <v>127</v>
      </c>
      <c r="F50" s="16" t="s">
        <v>262</v>
      </c>
      <c r="G50" s="17" t="s">
        <v>121</v>
      </c>
      <c r="H50" s="17" t="s">
        <v>129</v>
      </c>
      <c r="I50" s="16" t="s">
        <v>41</v>
      </c>
      <c r="J50" s="18">
        <v>1.0</v>
      </c>
      <c r="K50" s="20" t="str">
        <f t="shared" si="31"/>
        <v/>
      </c>
      <c r="L50" s="20"/>
      <c r="M50" s="20"/>
      <c r="N50" s="20" t="str">
        <f t="shared" si="32"/>
        <v/>
      </c>
      <c r="O50" s="19">
        <f t="shared" si="33"/>
        <v>1</v>
      </c>
      <c r="P50" s="20">
        <f t="shared" si="27"/>
        <v>1</v>
      </c>
      <c r="Q50" s="20"/>
      <c r="R50" s="20" t="str">
        <f t="shared" si="34"/>
        <v/>
      </c>
      <c r="S50" s="20" t="str">
        <f t="shared" si="30"/>
        <v/>
      </c>
      <c r="T50" s="16"/>
      <c r="U50" s="16"/>
      <c r="V50" s="21" t="s">
        <v>123</v>
      </c>
      <c r="W50" s="21" t="s">
        <v>123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</row>
    <row r="51">
      <c r="A51" s="23">
        <f t="shared" si="4"/>
        <v>48</v>
      </c>
      <c r="B51" s="15" t="s">
        <v>263</v>
      </c>
      <c r="C51" s="16" t="s">
        <v>264</v>
      </c>
      <c r="D51" s="16" t="s">
        <v>118</v>
      </c>
      <c r="E51" s="16" t="s">
        <v>119</v>
      </c>
      <c r="F51" s="16" t="s">
        <v>120</v>
      </c>
      <c r="G51" s="17" t="s">
        <v>121</v>
      </c>
      <c r="H51" s="17" t="s">
        <v>129</v>
      </c>
      <c r="I51" s="16" t="s">
        <v>41</v>
      </c>
      <c r="J51" s="18">
        <v>1.0</v>
      </c>
      <c r="K51" s="20" t="str">
        <f t="shared" si="31"/>
        <v/>
      </c>
      <c r="L51" s="20"/>
      <c r="M51" s="20"/>
      <c r="N51" s="20" t="str">
        <f t="shared" si="32"/>
        <v/>
      </c>
      <c r="O51" s="19">
        <f t="shared" si="33"/>
        <v>1</v>
      </c>
      <c r="P51" s="20">
        <f t="shared" si="27"/>
        <v>1</v>
      </c>
      <c r="Q51" s="20"/>
      <c r="R51" s="20" t="str">
        <f t="shared" si="34"/>
        <v/>
      </c>
      <c r="S51" s="20" t="str">
        <f t="shared" si="30"/>
        <v/>
      </c>
      <c r="T51" s="16"/>
      <c r="U51" s="16"/>
      <c r="V51" s="21" t="s">
        <v>123</v>
      </c>
      <c r="W51" s="21" t="s">
        <v>123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</row>
    <row r="52">
      <c r="A52" s="23">
        <f t="shared" si="4"/>
        <v>49</v>
      </c>
      <c r="B52" s="15" t="s">
        <v>265</v>
      </c>
      <c r="C52" s="16" t="s">
        <v>266</v>
      </c>
      <c r="D52" s="16" t="s">
        <v>118</v>
      </c>
      <c r="E52" s="16" t="s">
        <v>119</v>
      </c>
      <c r="F52" s="16" t="s">
        <v>267</v>
      </c>
      <c r="G52" s="17" t="s">
        <v>121</v>
      </c>
      <c r="H52" s="17" t="s">
        <v>122</v>
      </c>
      <c r="I52" s="16" t="s">
        <v>41</v>
      </c>
      <c r="J52" s="18">
        <v>1.0</v>
      </c>
      <c r="K52" s="20" t="str">
        <f t="shared" si="31"/>
        <v/>
      </c>
      <c r="L52" s="20"/>
      <c r="M52" s="20"/>
      <c r="N52" s="20" t="str">
        <f t="shared" si="32"/>
        <v/>
      </c>
      <c r="O52" s="19"/>
      <c r="P52" s="20">
        <f t="shared" si="27"/>
        <v>1</v>
      </c>
      <c r="Q52" s="20">
        <f t="shared" ref="Q52:Q72" si="35">if(J52=1,1,"")</f>
        <v>1</v>
      </c>
      <c r="R52" s="20">
        <f t="shared" si="34"/>
        <v>1</v>
      </c>
      <c r="S52" s="20" t="str">
        <f t="shared" si="30"/>
        <v/>
      </c>
      <c r="T52" s="16"/>
      <c r="U52" s="16"/>
      <c r="V52" s="21" t="s">
        <v>123</v>
      </c>
      <c r="W52" s="21" t="s">
        <v>123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</row>
    <row r="53">
      <c r="A53" s="23">
        <f t="shared" si="4"/>
        <v>50</v>
      </c>
      <c r="B53" s="15" t="s">
        <v>268</v>
      </c>
      <c r="C53" s="16" t="s">
        <v>269</v>
      </c>
      <c r="D53" s="16" t="s">
        <v>126</v>
      </c>
      <c r="E53" s="16" t="s">
        <v>127</v>
      </c>
      <c r="F53" s="16" t="s">
        <v>128</v>
      </c>
      <c r="G53" s="17" t="s">
        <v>121</v>
      </c>
      <c r="H53" s="17" t="s">
        <v>129</v>
      </c>
      <c r="I53" s="16" t="s">
        <v>41</v>
      </c>
      <c r="J53" s="18">
        <v>1.0</v>
      </c>
      <c r="K53" s="20" t="str">
        <f t="shared" si="31"/>
        <v/>
      </c>
      <c r="L53" s="20"/>
      <c r="M53" s="20"/>
      <c r="N53" s="20" t="str">
        <f t="shared" si="32"/>
        <v/>
      </c>
      <c r="O53" s="19"/>
      <c r="P53" s="20">
        <f t="shared" si="27"/>
        <v>1</v>
      </c>
      <c r="Q53" s="20">
        <f t="shared" si="35"/>
        <v>1</v>
      </c>
      <c r="R53" s="20">
        <f t="shared" si="34"/>
        <v>1</v>
      </c>
      <c r="S53" s="20" t="str">
        <f t="shared" si="30"/>
        <v/>
      </c>
      <c r="T53" s="16"/>
      <c r="U53" s="16"/>
      <c r="V53" s="21" t="s">
        <v>123</v>
      </c>
      <c r="W53" s="21" t="s">
        <v>123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>
      <c r="A54" s="23">
        <f t="shared" si="4"/>
        <v>51</v>
      </c>
      <c r="B54" s="15" t="s">
        <v>270</v>
      </c>
      <c r="C54" s="16" t="s">
        <v>271</v>
      </c>
      <c r="D54" s="16" t="s">
        <v>126</v>
      </c>
      <c r="E54" s="16" t="s">
        <v>127</v>
      </c>
      <c r="F54" s="16" t="s">
        <v>133</v>
      </c>
      <c r="G54" s="17" t="s">
        <v>121</v>
      </c>
      <c r="H54" s="17" t="s">
        <v>122</v>
      </c>
      <c r="I54" s="16" t="s">
        <v>41</v>
      </c>
      <c r="J54" s="18">
        <v>1.0</v>
      </c>
      <c r="K54" s="20" t="str">
        <f t="shared" si="31"/>
        <v/>
      </c>
      <c r="L54" s="20"/>
      <c r="M54" s="20"/>
      <c r="N54" s="20" t="str">
        <f t="shared" si="32"/>
        <v/>
      </c>
      <c r="O54" s="19"/>
      <c r="P54" s="20">
        <f t="shared" si="27"/>
        <v>1</v>
      </c>
      <c r="Q54" s="20">
        <f t="shared" si="35"/>
        <v>1</v>
      </c>
      <c r="R54" s="20">
        <f t="shared" si="34"/>
        <v>1</v>
      </c>
      <c r="S54" s="20" t="str">
        <f t="shared" si="30"/>
        <v/>
      </c>
      <c r="T54" s="16"/>
      <c r="U54" s="16"/>
      <c r="V54" s="21" t="s">
        <v>151</v>
      </c>
      <c r="W54" s="21" t="s">
        <v>130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</row>
    <row r="55">
      <c r="A55" s="23">
        <f t="shared" si="4"/>
        <v>52</v>
      </c>
      <c r="B55" s="15" t="s">
        <v>272</v>
      </c>
      <c r="C55" s="16" t="s">
        <v>273</v>
      </c>
      <c r="D55" s="16" t="s">
        <v>126</v>
      </c>
      <c r="E55" s="16" t="s">
        <v>126</v>
      </c>
      <c r="F55" s="16" t="s">
        <v>274</v>
      </c>
      <c r="G55" s="17" t="s">
        <v>121</v>
      </c>
      <c r="H55" s="17" t="s">
        <v>129</v>
      </c>
      <c r="I55" s="16" t="s">
        <v>41</v>
      </c>
      <c r="J55" s="18">
        <v>1.0</v>
      </c>
      <c r="K55" s="20" t="str">
        <f t="shared" si="31"/>
        <v/>
      </c>
      <c r="L55" s="20"/>
      <c r="M55" s="20"/>
      <c r="N55" s="20" t="str">
        <f t="shared" si="32"/>
        <v/>
      </c>
      <c r="O55" s="19">
        <f>if(J55=1,1,"")</f>
        <v>1</v>
      </c>
      <c r="P55" s="20">
        <f t="shared" si="27"/>
        <v>1</v>
      </c>
      <c r="Q55" s="20">
        <f t="shared" si="35"/>
        <v>1</v>
      </c>
      <c r="R55" s="20">
        <f t="shared" si="34"/>
        <v>1</v>
      </c>
      <c r="S55" s="20" t="str">
        <f t="shared" si="30"/>
        <v/>
      </c>
      <c r="T55" s="16"/>
      <c r="U55" s="16"/>
      <c r="V55" s="21" t="s">
        <v>123</v>
      </c>
      <c r="W55" s="21" t="s">
        <v>123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</row>
    <row r="56">
      <c r="A56" s="23">
        <f t="shared" si="4"/>
        <v>53</v>
      </c>
      <c r="B56" s="24">
        <v>120.0</v>
      </c>
      <c r="C56" s="16" t="s">
        <v>275</v>
      </c>
      <c r="D56" s="16" t="s">
        <v>126</v>
      </c>
      <c r="E56" s="16" t="s">
        <v>276</v>
      </c>
      <c r="F56" s="16" t="s">
        <v>277</v>
      </c>
      <c r="G56" s="17" t="s">
        <v>121</v>
      </c>
      <c r="H56" s="17" t="s">
        <v>129</v>
      </c>
      <c r="I56" s="16" t="s">
        <v>41</v>
      </c>
      <c r="J56" s="18">
        <v>1.0</v>
      </c>
      <c r="K56" s="20" t="str">
        <f t="shared" si="31"/>
        <v/>
      </c>
      <c r="L56" s="20"/>
      <c r="M56" s="20"/>
      <c r="N56" s="20" t="str">
        <f t="shared" si="32"/>
        <v/>
      </c>
      <c r="O56" s="19"/>
      <c r="P56" s="20">
        <f t="shared" si="27"/>
        <v>1</v>
      </c>
      <c r="Q56" s="20">
        <f t="shared" si="35"/>
        <v>1</v>
      </c>
      <c r="R56" s="20">
        <f t="shared" si="34"/>
        <v>1</v>
      </c>
      <c r="S56" s="20" t="str">
        <f t="shared" si="30"/>
        <v/>
      </c>
      <c r="T56" s="16"/>
      <c r="U56" s="16"/>
      <c r="V56" s="21" t="s">
        <v>130</v>
      </c>
      <c r="W56" s="21" t="s">
        <v>130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</row>
    <row r="57">
      <c r="A57" s="23">
        <f t="shared" si="4"/>
        <v>54</v>
      </c>
      <c r="B57" s="15" t="s">
        <v>278</v>
      </c>
      <c r="C57" s="16" t="s">
        <v>279</v>
      </c>
      <c r="D57" s="16" t="s">
        <v>126</v>
      </c>
      <c r="E57" s="16" t="s">
        <v>280</v>
      </c>
      <c r="F57" s="16" t="s">
        <v>281</v>
      </c>
      <c r="G57" s="17" t="s">
        <v>121</v>
      </c>
      <c r="H57" s="17" t="s">
        <v>129</v>
      </c>
      <c r="I57" s="16" t="s">
        <v>41</v>
      </c>
      <c r="J57" s="18">
        <v>1.0</v>
      </c>
      <c r="K57" s="20" t="str">
        <f t="shared" si="31"/>
        <v/>
      </c>
      <c r="L57" s="20"/>
      <c r="M57" s="20"/>
      <c r="N57" s="20" t="str">
        <f t="shared" si="32"/>
        <v/>
      </c>
      <c r="O57" s="19"/>
      <c r="P57" s="20">
        <f t="shared" si="27"/>
        <v>1</v>
      </c>
      <c r="Q57" s="20">
        <f t="shared" si="35"/>
        <v>1</v>
      </c>
      <c r="R57" s="20">
        <f t="shared" si="34"/>
        <v>1</v>
      </c>
      <c r="S57" s="20" t="str">
        <f t="shared" si="30"/>
        <v/>
      </c>
      <c r="T57" s="16"/>
      <c r="U57" s="16"/>
      <c r="V57" s="21" t="s">
        <v>151</v>
      </c>
      <c r="W57" s="21" t="s">
        <v>130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</row>
    <row r="58">
      <c r="A58" s="23">
        <f t="shared" si="4"/>
        <v>55</v>
      </c>
      <c r="B58" s="15" t="s">
        <v>282</v>
      </c>
      <c r="C58" s="16" t="s">
        <v>283</v>
      </c>
      <c r="D58" s="16" t="s">
        <v>126</v>
      </c>
      <c r="E58" s="16" t="s">
        <v>119</v>
      </c>
      <c r="F58" s="16" t="s">
        <v>284</v>
      </c>
      <c r="G58" s="17" t="s">
        <v>121</v>
      </c>
      <c r="H58" s="17" t="s">
        <v>129</v>
      </c>
      <c r="I58" s="16" t="s">
        <v>41</v>
      </c>
      <c r="J58" s="18">
        <v>1.0</v>
      </c>
      <c r="K58" s="20" t="str">
        <f t="shared" si="31"/>
        <v/>
      </c>
      <c r="L58" s="20"/>
      <c r="M58" s="20"/>
      <c r="N58" s="20" t="str">
        <f t="shared" si="32"/>
        <v/>
      </c>
      <c r="O58" s="19">
        <f>if(J58=1,1,"")</f>
        <v>1</v>
      </c>
      <c r="P58" s="20">
        <f t="shared" si="27"/>
        <v>1</v>
      </c>
      <c r="Q58" s="20">
        <f t="shared" si="35"/>
        <v>1</v>
      </c>
      <c r="R58" s="20">
        <f t="shared" si="34"/>
        <v>1</v>
      </c>
      <c r="S58" s="20" t="str">
        <f t="shared" si="30"/>
        <v/>
      </c>
      <c r="T58" s="16"/>
      <c r="U58" s="16"/>
      <c r="V58" s="21" t="s">
        <v>123</v>
      </c>
      <c r="W58" s="21" t="s">
        <v>123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</row>
    <row r="59">
      <c r="A59" s="23">
        <f t="shared" si="4"/>
        <v>56</v>
      </c>
      <c r="B59" s="24">
        <v>104.0</v>
      </c>
      <c r="C59" s="16" t="s">
        <v>285</v>
      </c>
      <c r="D59" s="16" t="s">
        <v>165</v>
      </c>
      <c r="E59" s="16" t="s">
        <v>286</v>
      </c>
      <c r="F59" s="16" t="s">
        <v>287</v>
      </c>
      <c r="G59" s="17" t="s">
        <v>121</v>
      </c>
      <c r="H59" s="17" t="s">
        <v>129</v>
      </c>
      <c r="I59" s="16" t="s">
        <v>41</v>
      </c>
      <c r="J59" s="18">
        <v>1.0</v>
      </c>
      <c r="K59" s="20" t="str">
        <f t="shared" si="31"/>
        <v/>
      </c>
      <c r="L59" s="20"/>
      <c r="M59" s="20"/>
      <c r="N59" s="20" t="str">
        <f t="shared" si="32"/>
        <v/>
      </c>
      <c r="O59" s="19"/>
      <c r="P59" s="20">
        <f t="shared" si="27"/>
        <v>1</v>
      </c>
      <c r="Q59" s="20">
        <f t="shared" si="35"/>
        <v>1</v>
      </c>
      <c r="R59" s="20">
        <f t="shared" si="34"/>
        <v>1</v>
      </c>
      <c r="S59" s="20" t="str">
        <f t="shared" si="30"/>
        <v/>
      </c>
      <c r="T59" s="16"/>
      <c r="U59" s="16"/>
      <c r="V59" s="21" t="s">
        <v>130</v>
      </c>
      <c r="W59" s="21" t="s">
        <v>130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</row>
    <row r="60">
      <c r="A60" s="23">
        <f t="shared" si="4"/>
        <v>57</v>
      </c>
      <c r="B60" s="24">
        <v>111.0</v>
      </c>
      <c r="C60" s="16" t="s">
        <v>288</v>
      </c>
      <c r="D60" s="16" t="s">
        <v>165</v>
      </c>
      <c r="E60" s="16" t="s">
        <v>289</v>
      </c>
      <c r="F60" s="16" t="s">
        <v>290</v>
      </c>
      <c r="G60" s="17" t="s">
        <v>121</v>
      </c>
      <c r="H60" s="17" t="s">
        <v>129</v>
      </c>
      <c r="I60" s="16" t="s">
        <v>41</v>
      </c>
      <c r="J60" s="18">
        <v>1.0</v>
      </c>
      <c r="K60" s="20" t="str">
        <f t="shared" si="31"/>
        <v/>
      </c>
      <c r="L60" s="20"/>
      <c r="M60" s="20"/>
      <c r="N60" s="20" t="str">
        <f t="shared" si="32"/>
        <v/>
      </c>
      <c r="O60" s="19"/>
      <c r="P60" s="20">
        <f t="shared" si="27"/>
        <v>1</v>
      </c>
      <c r="Q60" s="20">
        <f t="shared" si="35"/>
        <v>1</v>
      </c>
      <c r="R60" s="20">
        <f t="shared" si="34"/>
        <v>1</v>
      </c>
      <c r="S60" s="20" t="str">
        <f t="shared" si="30"/>
        <v/>
      </c>
      <c r="T60" s="16"/>
      <c r="U60" s="16"/>
      <c r="V60" s="21" t="s">
        <v>130</v>
      </c>
      <c r="W60" s="21" t="s">
        <v>130</v>
      </c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</row>
    <row r="61">
      <c r="A61" s="23">
        <f t="shared" si="4"/>
        <v>58</v>
      </c>
      <c r="B61" s="24">
        <v>119.0</v>
      </c>
      <c r="C61" s="16" t="s">
        <v>291</v>
      </c>
      <c r="D61" s="16" t="s">
        <v>165</v>
      </c>
      <c r="E61" s="16" t="s">
        <v>289</v>
      </c>
      <c r="F61" s="16" t="s">
        <v>292</v>
      </c>
      <c r="G61" s="17" t="s">
        <v>121</v>
      </c>
      <c r="H61" s="17" t="s">
        <v>122</v>
      </c>
      <c r="I61" s="16" t="s">
        <v>41</v>
      </c>
      <c r="J61" s="18">
        <v>1.0</v>
      </c>
      <c r="K61" s="20" t="str">
        <f t="shared" si="31"/>
        <v/>
      </c>
      <c r="L61" s="20"/>
      <c r="M61" s="20"/>
      <c r="N61" s="20" t="str">
        <f t="shared" si="32"/>
        <v/>
      </c>
      <c r="O61" s="19"/>
      <c r="P61" s="20">
        <f t="shared" si="27"/>
        <v>1</v>
      </c>
      <c r="Q61" s="20">
        <f t="shared" si="35"/>
        <v>1</v>
      </c>
      <c r="R61" s="20">
        <f t="shared" si="34"/>
        <v>1</v>
      </c>
      <c r="S61" s="20" t="str">
        <f t="shared" si="30"/>
        <v/>
      </c>
      <c r="T61" s="16"/>
      <c r="U61" s="16"/>
      <c r="V61" s="21" t="s">
        <v>130</v>
      </c>
      <c r="W61" s="21" t="s">
        <v>130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>
      <c r="A62" s="23">
        <f t="shared" si="4"/>
        <v>59</v>
      </c>
      <c r="B62" s="15" t="s">
        <v>293</v>
      </c>
      <c r="C62" s="16" t="s">
        <v>294</v>
      </c>
      <c r="D62" s="16" t="s">
        <v>165</v>
      </c>
      <c r="E62" s="16" t="s">
        <v>289</v>
      </c>
      <c r="F62" s="16" t="s">
        <v>175</v>
      </c>
      <c r="G62" s="17" t="s">
        <v>121</v>
      </c>
      <c r="H62" s="17" t="s">
        <v>122</v>
      </c>
      <c r="I62" s="16" t="s">
        <v>41</v>
      </c>
      <c r="J62" s="18">
        <v>1.0</v>
      </c>
      <c r="K62" s="20" t="str">
        <f t="shared" si="31"/>
        <v/>
      </c>
      <c r="L62" s="20"/>
      <c r="M62" s="20"/>
      <c r="N62" s="20" t="str">
        <f t="shared" si="32"/>
        <v/>
      </c>
      <c r="O62" s="19">
        <f>if(J62=1,1,"")</f>
        <v>1</v>
      </c>
      <c r="P62" s="20">
        <f t="shared" si="27"/>
        <v>1</v>
      </c>
      <c r="Q62" s="20">
        <f t="shared" si="35"/>
        <v>1</v>
      </c>
      <c r="R62" s="20">
        <f t="shared" si="34"/>
        <v>1</v>
      </c>
      <c r="S62" s="20" t="str">
        <f t="shared" si="30"/>
        <v/>
      </c>
      <c r="T62" s="16"/>
      <c r="U62" s="16"/>
      <c r="V62" s="21" t="s">
        <v>123</v>
      </c>
      <c r="W62" s="21" t="s">
        <v>123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</row>
    <row r="63">
      <c r="A63" s="23">
        <f t="shared" si="4"/>
        <v>60</v>
      </c>
      <c r="B63" s="24">
        <v>112.0</v>
      </c>
      <c r="C63" s="16" t="s">
        <v>295</v>
      </c>
      <c r="D63" s="16" t="s">
        <v>189</v>
      </c>
      <c r="E63" s="16" t="s">
        <v>190</v>
      </c>
      <c r="F63" s="16" t="s">
        <v>296</v>
      </c>
      <c r="G63" s="17" t="s">
        <v>121</v>
      </c>
      <c r="H63" s="17" t="s">
        <v>129</v>
      </c>
      <c r="I63" s="16" t="s">
        <v>41</v>
      </c>
      <c r="J63" s="18">
        <v>1.0</v>
      </c>
      <c r="K63" s="20" t="str">
        <f t="shared" si="31"/>
        <v/>
      </c>
      <c r="L63" s="20"/>
      <c r="M63" s="20"/>
      <c r="N63" s="20" t="str">
        <f t="shared" si="32"/>
        <v/>
      </c>
      <c r="O63" s="19"/>
      <c r="P63" s="20">
        <f t="shared" si="27"/>
        <v>1</v>
      </c>
      <c r="Q63" s="20">
        <f t="shared" si="35"/>
        <v>1</v>
      </c>
      <c r="R63" s="20">
        <f t="shared" si="34"/>
        <v>1</v>
      </c>
      <c r="S63" s="20" t="str">
        <f t="shared" si="30"/>
        <v/>
      </c>
      <c r="T63" s="16"/>
      <c r="U63" s="16"/>
      <c r="V63" s="21" t="s">
        <v>297</v>
      </c>
      <c r="W63" s="21" t="s">
        <v>123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</row>
    <row r="64">
      <c r="A64" s="23">
        <f t="shared" si="4"/>
        <v>61</v>
      </c>
      <c r="B64" s="15" t="s">
        <v>298</v>
      </c>
      <c r="C64" s="16" t="s">
        <v>299</v>
      </c>
      <c r="D64" s="16" t="s">
        <v>189</v>
      </c>
      <c r="E64" s="16" t="s">
        <v>190</v>
      </c>
      <c r="F64" s="16" t="s">
        <v>300</v>
      </c>
      <c r="G64" s="17" t="s">
        <v>121</v>
      </c>
      <c r="H64" s="17" t="s">
        <v>129</v>
      </c>
      <c r="I64" s="16" t="s">
        <v>41</v>
      </c>
      <c r="J64" s="18">
        <v>1.0</v>
      </c>
      <c r="K64" s="20" t="str">
        <f t="shared" si="31"/>
        <v/>
      </c>
      <c r="L64" s="20"/>
      <c r="M64" s="20"/>
      <c r="N64" s="20" t="str">
        <f t="shared" si="32"/>
        <v/>
      </c>
      <c r="O64" s="19"/>
      <c r="P64" s="20">
        <f t="shared" si="27"/>
        <v>1</v>
      </c>
      <c r="Q64" s="20">
        <f t="shared" si="35"/>
        <v>1</v>
      </c>
      <c r="R64" s="20">
        <f t="shared" si="34"/>
        <v>1</v>
      </c>
      <c r="S64" s="20" t="str">
        <f t="shared" si="30"/>
        <v/>
      </c>
      <c r="T64" s="16"/>
      <c r="U64" s="16"/>
      <c r="V64" s="43" t="s">
        <v>123</v>
      </c>
      <c r="W64" s="43" t="s">
        <v>123</v>
      </c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>
      <c r="A65" s="23">
        <f t="shared" si="4"/>
        <v>62</v>
      </c>
      <c r="B65" s="24">
        <v>121.0</v>
      </c>
      <c r="C65" s="16" t="s">
        <v>301</v>
      </c>
      <c r="D65" s="16" t="s">
        <v>189</v>
      </c>
      <c r="E65" s="16" t="s">
        <v>190</v>
      </c>
      <c r="F65" s="16" t="s">
        <v>302</v>
      </c>
      <c r="G65" s="17" t="s">
        <v>121</v>
      </c>
      <c r="H65" s="17" t="s">
        <v>129</v>
      </c>
      <c r="I65" s="16" t="s">
        <v>41</v>
      </c>
      <c r="J65" s="18">
        <v>1.0</v>
      </c>
      <c r="K65" s="20" t="str">
        <f t="shared" si="31"/>
        <v/>
      </c>
      <c r="L65" s="20"/>
      <c r="M65" s="20"/>
      <c r="N65" s="20" t="str">
        <f t="shared" si="32"/>
        <v/>
      </c>
      <c r="O65" s="19"/>
      <c r="P65" s="20">
        <f t="shared" si="27"/>
        <v>1</v>
      </c>
      <c r="Q65" s="20">
        <f t="shared" si="35"/>
        <v>1</v>
      </c>
      <c r="R65" s="20">
        <f t="shared" si="34"/>
        <v>1</v>
      </c>
      <c r="S65" s="20" t="str">
        <f t="shared" si="30"/>
        <v/>
      </c>
      <c r="T65" s="16"/>
      <c r="U65" s="16"/>
      <c r="V65" s="43" t="s">
        <v>130</v>
      </c>
      <c r="W65" s="43" t="s">
        <v>130</v>
      </c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>
      <c r="A66" s="23">
        <f t="shared" si="4"/>
        <v>63</v>
      </c>
      <c r="B66" s="15" t="s">
        <v>303</v>
      </c>
      <c r="C66" s="16" t="s">
        <v>304</v>
      </c>
      <c r="D66" s="16" t="s">
        <v>189</v>
      </c>
      <c r="E66" s="16" t="s">
        <v>119</v>
      </c>
      <c r="F66" s="16" t="s">
        <v>305</v>
      </c>
      <c r="G66" s="17" t="s">
        <v>121</v>
      </c>
      <c r="H66" s="17" t="s">
        <v>129</v>
      </c>
      <c r="I66" s="16" t="s">
        <v>41</v>
      </c>
      <c r="J66" s="18">
        <v>1.0</v>
      </c>
      <c r="K66" s="20" t="str">
        <f t="shared" si="31"/>
        <v/>
      </c>
      <c r="L66" s="20"/>
      <c r="M66" s="20"/>
      <c r="N66" s="20" t="str">
        <f t="shared" si="32"/>
        <v/>
      </c>
      <c r="O66" s="19">
        <f t="shared" ref="O66:O68" si="36">if(J66=1,1,"")</f>
        <v>1</v>
      </c>
      <c r="P66" s="20">
        <f t="shared" si="27"/>
        <v>1</v>
      </c>
      <c r="Q66" s="20">
        <f t="shared" si="35"/>
        <v>1</v>
      </c>
      <c r="R66" s="20">
        <f t="shared" si="34"/>
        <v>1</v>
      </c>
      <c r="S66" s="20" t="str">
        <f t="shared" si="30"/>
        <v/>
      </c>
      <c r="T66" s="16"/>
      <c r="U66" s="16"/>
      <c r="V66" s="43" t="s">
        <v>123</v>
      </c>
      <c r="W66" s="43" t="s">
        <v>123</v>
      </c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>
      <c r="A67" s="23">
        <f t="shared" si="4"/>
        <v>64</v>
      </c>
      <c r="B67" s="15" t="s">
        <v>306</v>
      </c>
      <c r="C67" s="16" t="s">
        <v>307</v>
      </c>
      <c r="D67" s="16" t="s">
        <v>308</v>
      </c>
      <c r="E67" s="16" t="s">
        <v>309</v>
      </c>
      <c r="F67" s="16" t="s">
        <v>310</v>
      </c>
      <c r="G67" s="17" t="s">
        <v>121</v>
      </c>
      <c r="H67" s="17" t="s">
        <v>129</v>
      </c>
      <c r="I67" s="16" t="s">
        <v>41</v>
      </c>
      <c r="J67" s="18">
        <v>1.0</v>
      </c>
      <c r="K67" s="20" t="str">
        <f t="shared" si="31"/>
        <v/>
      </c>
      <c r="L67" s="20"/>
      <c r="M67" s="20"/>
      <c r="N67" s="20" t="str">
        <f t="shared" si="32"/>
        <v/>
      </c>
      <c r="O67" s="19">
        <f t="shared" si="36"/>
        <v>1</v>
      </c>
      <c r="P67" s="20">
        <f t="shared" si="27"/>
        <v>1</v>
      </c>
      <c r="Q67" s="20">
        <f t="shared" si="35"/>
        <v>1</v>
      </c>
      <c r="R67" s="20">
        <f t="shared" si="34"/>
        <v>1</v>
      </c>
      <c r="S67" s="20" t="str">
        <f t="shared" si="30"/>
        <v/>
      </c>
      <c r="T67" s="16"/>
      <c r="U67" s="16"/>
      <c r="V67" s="43" t="s">
        <v>123</v>
      </c>
      <c r="W67" s="43" t="s">
        <v>123</v>
      </c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>
      <c r="A68" s="23">
        <f t="shared" si="4"/>
        <v>65</v>
      </c>
      <c r="B68" s="15" t="s">
        <v>311</v>
      </c>
      <c r="C68" s="16" t="s">
        <v>312</v>
      </c>
      <c r="D68" s="16" t="s">
        <v>308</v>
      </c>
      <c r="E68" s="16" t="s">
        <v>313</v>
      </c>
      <c r="F68" s="16" t="s">
        <v>314</v>
      </c>
      <c r="G68" s="17" t="s">
        <v>121</v>
      </c>
      <c r="H68" s="17" t="s">
        <v>122</v>
      </c>
      <c r="I68" s="16" t="s">
        <v>41</v>
      </c>
      <c r="J68" s="18">
        <v>1.0</v>
      </c>
      <c r="K68" s="20" t="str">
        <f t="shared" si="31"/>
        <v/>
      </c>
      <c r="L68" s="20"/>
      <c r="M68" s="20"/>
      <c r="N68" s="20" t="str">
        <f t="shared" si="32"/>
        <v/>
      </c>
      <c r="O68" s="19">
        <f t="shared" si="36"/>
        <v>1</v>
      </c>
      <c r="P68" s="20">
        <f t="shared" si="27"/>
        <v>1</v>
      </c>
      <c r="Q68" s="20">
        <f t="shared" si="35"/>
        <v>1</v>
      </c>
      <c r="R68" s="20">
        <f t="shared" si="34"/>
        <v>1</v>
      </c>
      <c r="S68" s="20" t="str">
        <f t="shared" si="30"/>
        <v/>
      </c>
      <c r="T68" s="16"/>
      <c r="U68" s="16"/>
      <c r="V68" s="43" t="s">
        <v>123</v>
      </c>
      <c r="W68" s="43" t="s">
        <v>123</v>
      </c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>
      <c r="A69" s="23">
        <f t="shared" si="4"/>
        <v>66</v>
      </c>
      <c r="B69" s="24">
        <v>117.0</v>
      </c>
      <c r="C69" s="16" t="s">
        <v>315</v>
      </c>
      <c r="D69" s="16" t="s">
        <v>308</v>
      </c>
      <c r="E69" s="16" t="s">
        <v>197</v>
      </c>
      <c r="F69" s="16" t="s">
        <v>316</v>
      </c>
      <c r="G69" s="17" t="s">
        <v>121</v>
      </c>
      <c r="H69" s="17" t="s">
        <v>129</v>
      </c>
      <c r="I69" s="16" t="s">
        <v>41</v>
      </c>
      <c r="J69" s="18">
        <v>1.0</v>
      </c>
      <c r="K69" s="20" t="str">
        <f t="shared" si="31"/>
        <v/>
      </c>
      <c r="L69" s="20"/>
      <c r="M69" s="20"/>
      <c r="N69" s="20" t="str">
        <f t="shared" si="32"/>
        <v/>
      </c>
      <c r="O69" s="19"/>
      <c r="P69" s="20">
        <f t="shared" si="27"/>
        <v>1</v>
      </c>
      <c r="Q69" s="20">
        <f t="shared" si="35"/>
        <v>1</v>
      </c>
      <c r="R69" s="20">
        <f t="shared" si="34"/>
        <v>1</v>
      </c>
      <c r="S69" s="20" t="str">
        <f t="shared" si="30"/>
        <v/>
      </c>
      <c r="T69" s="16"/>
      <c r="U69" s="16"/>
      <c r="V69" s="43" t="s">
        <v>130</v>
      </c>
      <c r="W69" s="43" t="s">
        <v>130</v>
      </c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>
      <c r="A70" s="23">
        <f t="shared" si="4"/>
        <v>67</v>
      </c>
      <c r="B70" s="16"/>
      <c r="C70" s="17" t="s">
        <v>317</v>
      </c>
      <c r="D70" s="17" t="s">
        <v>318</v>
      </c>
      <c r="E70" s="16"/>
      <c r="F70" s="17" t="s">
        <v>319</v>
      </c>
      <c r="G70" s="17" t="s">
        <v>319</v>
      </c>
      <c r="H70" s="17" t="s">
        <v>129</v>
      </c>
      <c r="I70" s="17" t="s">
        <v>41</v>
      </c>
      <c r="J70" s="18">
        <v>1.0</v>
      </c>
      <c r="K70" s="20" t="str">
        <f t="shared" si="31"/>
        <v/>
      </c>
      <c r="L70" s="20"/>
      <c r="M70" s="20"/>
      <c r="N70" s="20" t="str">
        <f t="shared" si="32"/>
        <v/>
      </c>
      <c r="O70" s="19"/>
      <c r="P70" s="20">
        <f t="shared" si="27"/>
        <v>1</v>
      </c>
      <c r="Q70" s="20">
        <f t="shared" si="35"/>
        <v>1</v>
      </c>
      <c r="R70" s="20">
        <f t="shared" si="34"/>
        <v>1</v>
      </c>
      <c r="S70" s="20" t="str">
        <f t="shared" si="30"/>
        <v/>
      </c>
      <c r="T70" s="16"/>
      <c r="U70" s="16"/>
      <c r="V70" s="44"/>
      <c r="W70" s="44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</row>
    <row r="71">
      <c r="A71" s="23">
        <f t="shared" si="4"/>
        <v>68</v>
      </c>
      <c r="B71" s="16"/>
      <c r="C71" s="17" t="s">
        <v>320</v>
      </c>
      <c r="D71" s="17" t="s">
        <v>318</v>
      </c>
      <c r="E71" s="16"/>
      <c r="F71" s="17" t="s">
        <v>319</v>
      </c>
      <c r="G71" s="17" t="s">
        <v>319</v>
      </c>
      <c r="H71" s="17" t="s">
        <v>122</v>
      </c>
      <c r="I71" s="17" t="s">
        <v>41</v>
      </c>
      <c r="J71" s="18">
        <v>1.0</v>
      </c>
      <c r="K71" s="20" t="str">
        <f t="shared" si="31"/>
        <v/>
      </c>
      <c r="L71" s="20"/>
      <c r="M71" s="20"/>
      <c r="N71" s="20" t="str">
        <f t="shared" si="32"/>
        <v/>
      </c>
      <c r="O71" s="19"/>
      <c r="P71" s="20">
        <f t="shared" si="27"/>
        <v>1</v>
      </c>
      <c r="Q71" s="20">
        <f t="shared" si="35"/>
        <v>1</v>
      </c>
      <c r="R71" s="20">
        <f t="shared" si="34"/>
        <v>1</v>
      </c>
      <c r="S71" s="20" t="str">
        <f t="shared" si="30"/>
        <v/>
      </c>
      <c r="T71" s="16"/>
      <c r="U71" s="16"/>
      <c r="V71" s="44"/>
      <c r="W71" s="44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</row>
    <row r="72">
      <c r="A72" s="23">
        <f t="shared" si="4"/>
        <v>69</v>
      </c>
      <c r="B72" s="16"/>
      <c r="C72" s="17" t="s">
        <v>321</v>
      </c>
      <c r="D72" s="17" t="s">
        <v>322</v>
      </c>
      <c r="E72" s="16"/>
      <c r="F72" s="17" t="s">
        <v>319</v>
      </c>
      <c r="G72" s="17" t="s">
        <v>319</v>
      </c>
      <c r="H72" s="17" t="s">
        <v>129</v>
      </c>
      <c r="I72" s="17" t="s">
        <v>41</v>
      </c>
      <c r="J72" s="18">
        <v>1.0</v>
      </c>
      <c r="K72" s="20" t="str">
        <f t="shared" si="31"/>
        <v/>
      </c>
      <c r="L72" s="20"/>
      <c r="M72" s="20"/>
      <c r="N72" s="20" t="str">
        <f t="shared" si="32"/>
        <v/>
      </c>
      <c r="O72" s="19"/>
      <c r="P72" s="20">
        <f t="shared" si="27"/>
        <v>1</v>
      </c>
      <c r="Q72" s="20">
        <f t="shared" si="35"/>
        <v>1</v>
      </c>
      <c r="R72" s="20">
        <f t="shared" si="34"/>
        <v>1</v>
      </c>
      <c r="S72" s="20" t="str">
        <f t="shared" si="30"/>
        <v/>
      </c>
      <c r="T72" s="16"/>
      <c r="U72" s="16"/>
      <c r="V72" s="44"/>
      <c r="W72" s="44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</row>
    <row r="73">
      <c r="A73" s="45">
        <f t="shared" si="4"/>
        <v>70</v>
      </c>
      <c r="B73" s="46"/>
      <c r="C73" s="47" t="s">
        <v>323</v>
      </c>
      <c r="D73" s="47" t="s">
        <v>318</v>
      </c>
      <c r="E73" s="46"/>
      <c r="F73" s="47" t="s">
        <v>319</v>
      </c>
      <c r="G73" s="47" t="s">
        <v>319</v>
      </c>
      <c r="H73" s="47" t="s">
        <v>129</v>
      </c>
      <c r="I73" s="47" t="s">
        <v>324</v>
      </c>
      <c r="J73" s="48">
        <v>0.0</v>
      </c>
      <c r="K73" s="49" t="str">
        <f t="shared" si="31"/>
        <v/>
      </c>
      <c r="L73" s="49"/>
      <c r="M73" s="49"/>
      <c r="N73" s="49" t="str">
        <f t="shared" si="32"/>
        <v/>
      </c>
      <c r="O73" s="50"/>
      <c r="P73" s="49" t="str">
        <f t="shared" si="27"/>
        <v/>
      </c>
      <c r="Q73" s="49"/>
      <c r="R73" s="49"/>
      <c r="S73" s="49"/>
      <c r="T73" s="46"/>
      <c r="U73" s="46"/>
      <c r="V73" s="44"/>
      <c r="W73" s="44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</row>
    <row r="74">
      <c r="A74" s="45">
        <f t="shared" si="4"/>
        <v>71</v>
      </c>
      <c r="B74" s="46"/>
      <c r="C74" s="47" t="s">
        <v>325</v>
      </c>
      <c r="D74" s="47" t="s">
        <v>318</v>
      </c>
      <c r="E74" s="46"/>
      <c r="F74" s="47" t="s">
        <v>319</v>
      </c>
      <c r="G74" s="47" t="s">
        <v>319</v>
      </c>
      <c r="H74" s="47" t="s">
        <v>122</v>
      </c>
      <c r="I74" s="47" t="s">
        <v>324</v>
      </c>
      <c r="J74" s="48">
        <v>0.0</v>
      </c>
      <c r="K74" s="49" t="str">
        <f t="shared" si="31"/>
        <v/>
      </c>
      <c r="L74" s="49"/>
      <c r="M74" s="49"/>
      <c r="N74" s="49" t="str">
        <f t="shared" si="32"/>
        <v/>
      </c>
      <c r="O74" s="50"/>
      <c r="P74" s="49" t="str">
        <f t="shared" si="27"/>
        <v/>
      </c>
      <c r="Q74" s="49"/>
      <c r="R74" s="49"/>
      <c r="S74" s="49"/>
      <c r="T74" s="46"/>
      <c r="U74" s="46"/>
      <c r="V74" s="44"/>
      <c r="W74" s="44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</row>
    <row r="75">
      <c r="A75" s="23">
        <f t="shared" si="4"/>
        <v>72</v>
      </c>
      <c r="B75" s="52"/>
      <c r="C75" s="53" t="s">
        <v>326</v>
      </c>
      <c r="D75" s="53" t="s">
        <v>327</v>
      </c>
      <c r="E75" s="52"/>
      <c r="F75" s="17" t="s">
        <v>319</v>
      </c>
      <c r="G75" s="17" t="s">
        <v>319</v>
      </c>
      <c r="H75" s="17" t="s">
        <v>129</v>
      </c>
      <c r="I75" s="17" t="s">
        <v>41</v>
      </c>
      <c r="J75" s="54"/>
      <c r="K75" s="20" t="str">
        <f t="shared" si="31"/>
        <v/>
      </c>
      <c r="L75" s="20"/>
      <c r="M75" s="20"/>
      <c r="N75" s="20" t="str">
        <f t="shared" si="32"/>
        <v/>
      </c>
      <c r="O75" s="19"/>
      <c r="P75" s="49" t="str">
        <f t="shared" si="27"/>
        <v/>
      </c>
      <c r="Q75" s="20"/>
      <c r="R75" s="20" t="str">
        <f t="shared" ref="R75:R79" si="37">Q75</f>
        <v/>
      </c>
      <c r="S75" s="20" t="str">
        <f t="shared" ref="S75:S79" si="38">N75</f>
        <v/>
      </c>
      <c r="T75" s="52"/>
      <c r="U75" s="53" t="s">
        <v>328</v>
      </c>
      <c r="V75" s="44"/>
      <c r="W75" s="44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</row>
    <row r="76">
      <c r="A76" s="23">
        <f t="shared" si="4"/>
        <v>73</v>
      </c>
      <c r="B76" s="52"/>
      <c r="C76" s="53" t="s">
        <v>329</v>
      </c>
      <c r="D76" s="53" t="s">
        <v>327</v>
      </c>
      <c r="E76" s="52"/>
      <c r="F76" s="17" t="s">
        <v>319</v>
      </c>
      <c r="G76" s="17" t="s">
        <v>319</v>
      </c>
      <c r="H76" s="17" t="s">
        <v>129</v>
      </c>
      <c r="I76" s="17" t="s">
        <v>41</v>
      </c>
      <c r="J76" s="54">
        <v>0.0</v>
      </c>
      <c r="K76" s="20" t="str">
        <f t="shared" si="31"/>
        <v/>
      </c>
      <c r="L76" s="20"/>
      <c r="M76" s="20"/>
      <c r="N76" s="20" t="str">
        <f t="shared" si="32"/>
        <v/>
      </c>
      <c r="O76" s="19"/>
      <c r="P76" s="20" t="str">
        <f t="shared" si="27"/>
        <v/>
      </c>
      <c r="Q76" s="20"/>
      <c r="R76" s="20" t="str">
        <f t="shared" si="37"/>
        <v/>
      </c>
      <c r="S76" s="20" t="str">
        <f t="shared" si="38"/>
        <v/>
      </c>
      <c r="T76" s="52"/>
      <c r="U76" s="53" t="s">
        <v>328</v>
      </c>
      <c r="V76" s="44"/>
      <c r="W76" s="44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</row>
    <row r="77">
      <c r="A77" s="23">
        <f t="shared" si="4"/>
        <v>74</v>
      </c>
      <c r="B77" s="16"/>
      <c r="C77" s="17" t="s">
        <v>330</v>
      </c>
      <c r="D77" s="17" t="s">
        <v>331</v>
      </c>
      <c r="E77" s="16"/>
      <c r="F77" s="17" t="s">
        <v>319</v>
      </c>
      <c r="G77" s="17" t="s">
        <v>319</v>
      </c>
      <c r="H77" s="17" t="s">
        <v>122</v>
      </c>
      <c r="I77" s="17" t="s">
        <v>41</v>
      </c>
      <c r="J77" s="18">
        <v>1.0</v>
      </c>
      <c r="K77" s="20" t="str">
        <f t="shared" si="31"/>
        <v/>
      </c>
      <c r="L77" s="20"/>
      <c r="M77" s="20"/>
      <c r="N77" s="20" t="str">
        <f t="shared" si="32"/>
        <v/>
      </c>
      <c r="O77" s="19"/>
      <c r="P77" s="19">
        <v>1.0</v>
      </c>
      <c r="Q77" s="20"/>
      <c r="R77" s="20" t="str">
        <f t="shared" si="37"/>
        <v/>
      </c>
      <c r="S77" s="20" t="str">
        <f t="shared" si="38"/>
        <v/>
      </c>
      <c r="T77" s="16"/>
      <c r="U77" s="16"/>
      <c r="V77" s="44"/>
      <c r="W77" s="44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</row>
    <row r="78">
      <c r="A78" s="23">
        <f t="shared" si="4"/>
        <v>75</v>
      </c>
      <c r="B78" s="16"/>
      <c r="C78" s="17" t="s">
        <v>332</v>
      </c>
      <c r="D78" s="17" t="s">
        <v>318</v>
      </c>
      <c r="E78" s="16"/>
      <c r="F78" s="17" t="s">
        <v>319</v>
      </c>
      <c r="G78" s="17" t="s">
        <v>319</v>
      </c>
      <c r="H78" s="17" t="s">
        <v>122</v>
      </c>
      <c r="I78" s="17" t="s">
        <v>41</v>
      </c>
      <c r="J78" s="18">
        <v>1.0</v>
      </c>
      <c r="K78" s="20" t="str">
        <f t="shared" si="31"/>
        <v/>
      </c>
      <c r="L78" s="20"/>
      <c r="M78" s="20"/>
      <c r="N78" s="20" t="str">
        <f t="shared" si="32"/>
        <v/>
      </c>
      <c r="O78" s="19"/>
      <c r="P78" s="20">
        <f>if(J78=1,1,"")</f>
        <v>1</v>
      </c>
      <c r="Q78" s="20"/>
      <c r="R78" s="20" t="str">
        <f t="shared" si="37"/>
        <v/>
      </c>
      <c r="S78" s="20" t="str">
        <f t="shared" si="38"/>
        <v/>
      </c>
      <c r="T78" s="16"/>
      <c r="U78" s="16"/>
      <c r="V78" s="44"/>
      <c r="W78" s="44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</row>
    <row r="79">
      <c r="A79" s="23">
        <f>A72+1</f>
        <v>70</v>
      </c>
      <c r="B79" s="52"/>
      <c r="C79" s="53" t="s">
        <v>333</v>
      </c>
      <c r="D79" s="53" t="s">
        <v>334</v>
      </c>
      <c r="E79" s="52"/>
      <c r="F79" s="17" t="s">
        <v>319</v>
      </c>
      <c r="G79" s="17" t="s">
        <v>319</v>
      </c>
      <c r="H79" s="17" t="s">
        <v>122</v>
      </c>
      <c r="I79" s="17" t="s">
        <v>41</v>
      </c>
      <c r="J79" s="18">
        <v>1.0</v>
      </c>
      <c r="K79" s="20" t="str">
        <f t="shared" si="31"/>
        <v/>
      </c>
      <c r="L79" s="20"/>
      <c r="M79" s="20"/>
      <c r="N79" s="20" t="str">
        <f t="shared" si="32"/>
        <v/>
      </c>
      <c r="O79" s="19"/>
      <c r="P79" s="31" t="s">
        <v>335</v>
      </c>
      <c r="Q79" s="20"/>
      <c r="R79" s="20" t="str">
        <f t="shared" si="37"/>
        <v/>
      </c>
      <c r="S79" s="20" t="str">
        <f t="shared" si="38"/>
        <v/>
      </c>
      <c r="T79" s="52"/>
      <c r="U79" s="53"/>
      <c r="V79" s="21" t="s">
        <v>123</v>
      </c>
      <c r="W79" s="21" t="s">
        <v>123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</row>
    <row r="80">
      <c r="A80" s="23"/>
      <c r="B80" s="52"/>
      <c r="C80" s="53" t="s">
        <v>336</v>
      </c>
      <c r="D80" s="53" t="s">
        <v>337</v>
      </c>
      <c r="E80" s="52"/>
      <c r="F80" s="17" t="s">
        <v>319</v>
      </c>
      <c r="G80" s="17"/>
      <c r="H80" s="17"/>
      <c r="I80" s="17"/>
      <c r="J80" s="18"/>
      <c r="K80" s="20"/>
      <c r="L80" s="20"/>
      <c r="M80" s="20"/>
      <c r="N80" s="20"/>
      <c r="O80" s="19"/>
      <c r="P80" s="31" t="s">
        <v>335</v>
      </c>
      <c r="Q80" s="20"/>
      <c r="R80" s="20"/>
      <c r="S80" s="20"/>
      <c r="T80" s="52"/>
      <c r="U80" s="53"/>
      <c r="V80" s="21"/>
      <c r="W80" s="21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</row>
    <row r="81">
      <c r="A81" s="23">
        <f>A79+1</f>
        <v>71</v>
      </c>
      <c r="B81" s="52"/>
      <c r="C81" s="53" t="s">
        <v>338</v>
      </c>
      <c r="D81" s="53" t="s">
        <v>334</v>
      </c>
      <c r="E81" s="52"/>
      <c r="F81" s="17" t="s">
        <v>319</v>
      </c>
      <c r="G81" s="17" t="s">
        <v>319</v>
      </c>
      <c r="H81" s="17" t="s">
        <v>122</v>
      </c>
      <c r="I81" s="17" t="s">
        <v>339</v>
      </c>
      <c r="J81" s="18">
        <v>1.0</v>
      </c>
      <c r="K81" s="20" t="str">
        <f t="shared" ref="K81:K82" si="39">if(and(I81="Cao Bằng",J81=1),1,"")</f>
        <v/>
      </c>
      <c r="L81" s="20"/>
      <c r="M81" s="20"/>
      <c r="N81" s="20" t="str">
        <f t="shared" ref="N81:N82" si="40">if(and(I81="Cao Bằng",J81=1),1,"")</f>
        <v/>
      </c>
      <c r="O81" s="19"/>
      <c r="P81" s="31" t="s">
        <v>335</v>
      </c>
      <c r="Q81" s="20"/>
      <c r="R81" s="20" t="str">
        <f t="shared" ref="R81:R82" si="41">Q81</f>
        <v/>
      </c>
      <c r="S81" s="20" t="str">
        <f t="shared" ref="S81:S82" si="42">N81</f>
        <v/>
      </c>
      <c r="T81" s="52"/>
      <c r="U81" s="53"/>
      <c r="V81" s="21" t="s">
        <v>123</v>
      </c>
      <c r="W81" s="21" t="s">
        <v>123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</row>
    <row r="82">
      <c r="A82" s="23">
        <f t="shared" ref="A82:A113" si="43">A81+1</f>
        <v>72</v>
      </c>
      <c r="B82" s="52"/>
      <c r="C82" s="53" t="s">
        <v>340</v>
      </c>
      <c r="D82" s="53" t="s">
        <v>334</v>
      </c>
      <c r="E82" s="52"/>
      <c r="F82" s="17" t="s">
        <v>319</v>
      </c>
      <c r="G82" s="17" t="s">
        <v>319</v>
      </c>
      <c r="H82" s="17" t="s">
        <v>122</v>
      </c>
      <c r="I82" s="17" t="s">
        <v>339</v>
      </c>
      <c r="J82" s="18">
        <v>1.0</v>
      </c>
      <c r="K82" s="20" t="str">
        <f t="shared" si="39"/>
        <v/>
      </c>
      <c r="L82" s="20"/>
      <c r="M82" s="20"/>
      <c r="N82" s="20" t="str">
        <f t="shared" si="40"/>
        <v/>
      </c>
      <c r="O82" s="19"/>
      <c r="P82" s="31" t="s">
        <v>335</v>
      </c>
      <c r="Q82" s="20"/>
      <c r="R82" s="20" t="str">
        <f t="shared" si="41"/>
        <v/>
      </c>
      <c r="S82" s="20" t="str">
        <f t="shared" si="42"/>
        <v/>
      </c>
      <c r="T82" s="52"/>
      <c r="U82" s="53"/>
      <c r="V82" s="21" t="s">
        <v>123</v>
      </c>
      <c r="W82" s="21" t="s">
        <v>123</v>
      </c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</row>
    <row r="83">
      <c r="A83" s="23">
        <f t="shared" si="43"/>
        <v>73</v>
      </c>
      <c r="B83" s="24"/>
      <c r="C83" s="17" t="s">
        <v>341</v>
      </c>
      <c r="D83" s="17" t="s">
        <v>342</v>
      </c>
      <c r="E83" s="16"/>
      <c r="F83" s="17" t="s">
        <v>319</v>
      </c>
      <c r="G83" s="17"/>
      <c r="H83" s="17" t="s">
        <v>129</v>
      </c>
      <c r="I83" s="16"/>
      <c r="J83" s="20"/>
      <c r="K83" s="20"/>
      <c r="L83" s="20"/>
      <c r="M83" s="20"/>
      <c r="N83" s="20"/>
      <c r="O83" s="19"/>
      <c r="P83" s="19">
        <v>1.0</v>
      </c>
      <c r="Q83" s="20"/>
      <c r="R83" s="20"/>
      <c r="S83" s="20"/>
      <c r="T83" s="17"/>
      <c r="U83" s="16"/>
      <c r="V83" s="21" t="s">
        <v>123</v>
      </c>
      <c r="W83" s="21" t="s">
        <v>123</v>
      </c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</row>
    <row r="84">
      <c r="A84" s="23">
        <f t="shared" si="43"/>
        <v>74</v>
      </c>
      <c r="B84" s="24">
        <v>116.0</v>
      </c>
      <c r="C84" s="16" t="s">
        <v>343</v>
      </c>
      <c r="D84" s="16" t="s">
        <v>165</v>
      </c>
      <c r="E84" s="16" t="s">
        <v>166</v>
      </c>
      <c r="F84" s="16" t="s">
        <v>167</v>
      </c>
      <c r="G84" s="17" t="s">
        <v>121</v>
      </c>
      <c r="H84" s="17" t="s">
        <v>129</v>
      </c>
      <c r="I84" s="16" t="s">
        <v>344</v>
      </c>
      <c r="J84" s="19">
        <v>1.0</v>
      </c>
      <c r="K84" s="20" t="str">
        <f t="shared" ref="K84:K113" si="44">if(and(I84="Cao Bằng",J84=1),1,"")</f>
        <v/>
      </c>
      <c r="L84" s="20"/>
      <c r="M84" s="20"/>
      <c r="N84" s="20" t="str">
        <f t="shared" ref="N84:N113" si="45">if(and(I84="Cao Bằng",J84=1),1,"")</f>
        <v/>
      </c>
      <c r="O84" s="19">
        <f t="shared" ref="O84:O113" si="46">if(J84=1,1,"")</f>
        <v>1</v>
      </c>
      <c r="P84" s="20">
        <f t="shared" ref="P84:P113" si="47">if(J84=1,1,"")</f>
        <v>1</v>
      </c>
      <c r="Q84" s="20">
        <f t="shared" ref="Q84:Q113" si="48">if(J84=1,1,"")</f>
        <v>1</v>
      </c>
      <c r="R84" s="20">
        <f t="shared" ref="R84:R113" si="49">Q84</f>
        <v>1</v>
      </c>
      <c r="S84" s="20" t="str">
        <f t="shared" ref="S84:S113" si="50">N84</f>
        <v/>
      </c>
      <c r="T84" s="17" t="s">
        <v>345</v>
      </c>
      <c r="U84" s="16"/>
      <c r="V84" s="21" t="s">
        <v>151</v>
      </c>
      <c r="W84" s="21" t="s">
        <v>123</v>
      </c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</row>
    <row r="85">
      <c r="A85" s="23">
        <f t="shared" si="43"/>
        <v>75</v>
      </c>
      <c r="B85" s="15" t="s">
        <v>346</v>
      </c>
      <c r="C85" s="16" t="s">
        <v>347</v>
      </c>
      <c r="D85" s="16" t="s">
        <v>197</v>
      </c>
      <c r="E85" s="16" t="s">
        <v>198</v>
      </c>
      <c r="F85" s="16" t="s">
        <v>199</v>
      </c>
      <c r="G85" s="17" t="s">
        <v>121</v>
      </c>
      <c r="H85" s="17" t="s">
        <v>122</v>
      </c>
      <c r="I85" s="16" t="s">
        <v>40</v>
      </c>
      <c r="J85" s="20" t="s">
        <v>348</v>
      </c>
      <c r="K85" s="20" t="str">
        <f t="shared" si="44"/>
        <v/>
      </c>
      <c r="L85" s="20"/>
      <c r="M85" s="20"/>
      <c r="N85" s="20" t="str">
        <f t="shared" si="45"/>
        <v/>
      </c>
      <c r="O85" s="19" t="str">
        <f t="shared" si="46"/>
        <v/>
      </c>
      <c r="P85" s="20" t="str">
        <f t="shared" si="47"/>
        <v/>
      </c>
      <c r="Q85" s="20" t="str">
        <f t="shared" si="48"/>
        <v/>
      </c>
      <c r="R85" s="20" t="str">
        <f t="shared" si="49"/>
        <v/>
      </c>
      <c r="S85" s="20" t="str">
        <f t="shared" si="50"/>
        <v/>
      </c>
      <c r="T85" s="16"/>
      <c r="U85" s="17" t="s">
        <v>349</v>
      </c>
      <c r="V85" s="21" t="s">
        <v>123</v>
      </c>
      <c r="W85" s="21" t="s">
        <v>123</v>
      </c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</row>
    <row r="86">
      <c r="A86" s="23">
        <f t="shared" si="43"/>
        <v>76</v>
      </c>
      <c r="B86" s="15" t="s">
        <v>350</v>
      </c>
      <c r="C86" s="16" t="s">
        <v>351</v>
      </c>
      <c r="D86" s="16" t="s">
        <v>197</v>
      </c>
      <c r="E86" s="16" t="s">
        <v>198</v>
      </c>
      <c r="F86" s="16" t="s">
        <v>199</v>
      </c>
      <c r="G86" s="17" t="s">
        <v>121</v>
      </c>
      <c r="H86" s="17" t="s">
        <v>122</v>
      </c>
      <c r="I86" s="16" t="s">
        <v>40</v>
      </c>
      <c r="J86" s="20" t="s">
        <v>348</v>
      </c>
      <c r="K86" s="20" t="str">
        <f t="shared" si="44"/>
        <v/>
      </c>
      <c r="L86" s="20"/>
      <c r="M86" s="20"/>
      <c r="N86" s="20" t="str">
        <f t="shared" si="45"/>
        <v/>
      </c>
      <c r="O86" s="19" t="str">
        <f t="shared" si="46"/>
        <v/>
      </c>
      <c r="P86" s="20" t="str">
        <f t="shared" si="47"/>
        <v/>
      </c>
      <c r="Q86" s="20" t="str">
        <f t="shared" si="48"/>
        <v/>
      </c>
      <c r="R86" s="20" t="str">
        <f t="shared" si="49"/>
        <v/>
      </c>
      <c r="S86" s="20" t="str">
        <f t="shared" si="50"/>
        <v/>
      </c>
      <c r="T86" s="16"/>
      <c r="U86" s="16" t="s">
        <v>352</v>
      </c>
      <c r="V86" s="21" t="s">
        <v>123</v>
      </c>
      <c r="W86" s="21" t="s">
        <v>123</v>
      </c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</row>
    <row r="87">
      <c r="A87" s="23">
        <f t="shared" si="43"/>
        <v>77</v>
      </c>
      <c r="B87" s="15" t="s">
        <v>353</v>
      </c>
      <c r="C87" s="16" t="s">
        <v>354</v>
      </c>
      <c r="D87" s="16" t="s">
        <v>197</v>
      </c>
      <c r="E87" s="16" t="s">
        <v>198</v>
      </c>
      <c r="F87" s="16" t="s">
        <v>199</v>
      </c>
      <c r="G87" s="17" t="s">
        <v>121</v>
      </c>
      <c r="H87" s="17" t="s">
        <v>122</v>
      </c>
      <c r="I87" s="16" t="s">
        <v>40</v>
      </c>
      <c r="J87" s="20" t="s">
        <v>348</v>
      </c>
      <c r="K87" s="20" t="str">
        <f t="shared" si="44"/>
        <v/>
      </c>
      <c r="L87" s="20"/>
      <c r="M87" s="20"/>
      <c r="N87" s="20" t="str">
        <f t="shared" si="45"/>
        <v/>
      </c>
      <c r="O87" s="19" t="str">
        <f t="shared" si="46"/>
        <v/>
      </c>
      <c r="P87" s="20" t="str">
        <f t="shared" si="47"/>
        <v/>
      </c>
      <c r="Q87" s="20" t="str">
        <f t="shared" si="48"/>
        <v/>
      </c>
      <c r="R87" s="20" t="str">
        <f t="shared" si="49"/>
        <v/>
      </c>
      <c r="S87" s="20" t="str">
        <f t="shared" si="50"/>
        <v/>
      </c>
      <c r="T87" s="16"/>
      <c r="U87" s="16" t="s">
        <v>352</v>
      </c>
      <c r="V87" s="21" t="s">
        <v>123</v>
      </c>
      <c r="W87" s="21" t="s">
        <v>123</v>
      </c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</row>
    <row r="88">
      <c r="A88" s="23">
        <f t="shared" si="43"/>
        <v>78</v>
      </c>
      <c r="B88" s="15" t="s">
        <v>355</v>
      </c>
      <c r="C88" s="16" t="s">
        <v>356</v>
      </c>
      <c r="D88" s="16" t="s">
        <v>197</v>
      </c>
      <c r="E88" s="16" t="s">
        <v>198</v>
      </c>
      <c r="F88" s="16" t="s">
        <v>199</v>
      </c>
      <c r="G88" s="17" t="s">
        <v>121</v>
      </c>
      <c r="H88" s="17" t="s">
        <v>122</v>
      </c>
      <c r="I88" s="16" t="s">
        <v>40</v>
      </c>
      <c r="J88" s="20" t="s">
        <v>348</v>
      </c>
      <c r="K88" s="20" t="str">
        <f t="shared" si="44"/>
        <v/>
      </c>
      <c r="L88" s="20"/>
      <c r="M88" s="20"/>
      <c r="N88" s="20" t="str">
        <f t="shared" si="45"/>
        <v/>
      </c>
      <c r="O88" s="19" t="str">
        <f t="shared" si="46"/>
        <v/>
      </c>
      <c r="P88" s="20" t="str">
        <f t="shared" si="47"/>
        <v/>
      </c>
      <c r="Q88" s="20" t="str">
        <f t="shared" si="48"/>
        <v/>
      </c>
      <c r="R88" s="20" t="str">
        <f t="shared" si="49"/>
        <v/>
      </c>
      <c r="S88" s="20" t="str">
        <f t="shared" si="50"/>
        <v/>
      </c>
      <c r="T88" s="16"/>
      <c r="U88" s="16" t="s">
        <v>349</v>
      </c>
      <c r="V88" s="21" t="s">
        <v>123</v>
      </c>
      <c r="W88" s="21" t="s">
        <v>123</v>
      </c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</row>
    <row r="89">
      <c r="A89" s="23">
        <f t="shared" si="43"/>
        <v>79</v>
      </c>
      <c r="B89" s="15" t="s">
        <v>357</v>
      </c>
      <c r="C89" s="16" t="s">
        <v>358</v>
      </c>
      <c r="D89" s="16" t="s">
        <v>197</v>
      </c>
      <c r="E89" s="16" t="s">
        <v>198</v>
      </c>
      <c r="F89" s="16" t="s">
        <v>199</v>
      </c>
      <c r="G89" s="17" t="s">
        <v>121</v>
      </c>
      <c r="H89" s="17" t="s">
        <v>122</v>
      </c>
      <c r="I89" s="16" t="s">
        <v>40</v>
      </c>
      <c r="J89" s="20" t="s">
        <v>348</v>
      </c>
      <c r="K89" s="20" t="str">
        <f t="shared" si="44"/>
        <v/>
      </c>
      <c r="L89" s="20"/>
      <c r="M89" s="20"/>
      <c r="N89" s="20" t="str">
        <f t="shared" si="45"/>
        <v/>
      </c>
      <c r="O89" s="19" t="str">
        <f t="shared" si="46"/>
        <v/>
      </c>
      <c r="P89" s="20" t="str">
        <f t="shared" si="47"/>
        <v/>
      </c>
      <c r="Q89" s="20" t="str">
        <f t="shared" si="48"/>
        <v/>
      </c>
      <c r="R89" s="20" t="str">
        <f t="shared" si="49"/>
        <v/>
      </c>
      <c r="S89" s="20" t="str">
        <f t="shared" si="50"/>
        <v/>
      </c>
      <c r="T89" s="16"/>
      <c r="U89" s="16"/>
      <c r="V89" s="21" t="s">
        <v>130</v>
      </c>
      <c r="W89" s="21" t="s">
        <v>130</v>
      </c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</row>
    <row r="90">
      <c r="A90" s="23">
        <f t="shared" si="43"/>
        <v>80</v>
      </c>
      <c r="B90" s="15" t="s">
        <v>359</v>
      </c>
      <c r="C90" s="16" t="s">
        <v>360</v>
      </c>
      <c r="D90" s="16" t="s">
        <v>197</v>
      </c>
      <c r="E90" s="16" t="s">
        <v>198</v>
      </c>
      <c r="F90" s="16" t="s">
        <v>199</v>
      </c>
      <c r="G90" s="17" t="s">
        <v>121</v>
      </c>
      <c r="H90" s="17" t="s">
        <v>122</v>
      </c>
      <c r="I90" s="16" t="s">
        <v>40</v>
      </c>
      <c r="J90" s="20" t="s">
        <v>348</v>
      </c>
      <c r="K90" s="20" t="str">
        <f t="shared" si="44"/>
        <v/>
      </c>
      <c r="L90" s="20"/>
      <c r="M90" s="20"/>
      <c r="N90" s="20" t="str">
        <f t="shared" si="45"/>
        <v/>
      </c>
      <c r="O90" s="19" t="str">
        <f t="shared" si="46"/>
        <v/>
      </c>
      <c r="P90" s="20" t="str">
        <f t="shared" si="47"/>
        <v/>
      </c>
      <c r="Q90" s="20" t="str">
        <f t="shared" si="48"/>
        <v/>
      </c>
      <c r="R90" s="20" t="str">
        <f t="shared" si="49"/>
        <v/>
      </c>
      <c r="S90" s="20" t="str">
        <f t="shared" si="50"/>
        <v/>
      </c>
      <c r="T90" s="16"/>
      <c r="U90" s="16" t="s">
        <v>349</v>
      </c>
      <c r="V90" s="21" t="s">
        <v>130</v>
      </c>
      <c r="W90" s="21" t="s">
        <v>130</v>
      </c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</row>
    <row r="91">
      <c r="A91" s="23">
        <f t="shared" si="43"/>
        <v>81</v>
      </c>
      <c r="B91" s="15" t="s">
        <v>361</v>
      </c>
      <c r="C91" s="16" t="s">
        <v>362</v>
      </c>
      <c r="D91" s="16" t="s">
        <v>197</v>
      </c>
      <c r="E91" s="16" t="s">
        <v>198</v>
      </c>
      <c r="F91" s="16" t="s">
        <v>199</v>
      </c>
      <c r="G91" s="17" t="s">
        <v>121</v>
      </c>
      <c r="H91" s="17" t="s">
        <v>122</v>
      </c>
      <c r="I91" s="16" t="s">
        <v>40</v>
      </c>
      <c r="J91" s="20" t="s">
        <v>348</v>
      </c>
      <c r="K91" s="20" t="str">
        <f t="shared" si="44"/>
        <v/>
      </c>
      <c r="L91" s="20"/>
      <c r="M91" s="20"/>
      <c r="N91" s="20" t="str">
        <f t="shared" si="45"/>
        <v/>
      </c>
      <c r="O91" s="19" t="str">
        <f t="shared" si="46"/>
        <v/>
      </c>
      <c r="P91" s="20" t="str">
        <f t="shared" si="47"/>
        <v/>
      </c>
      <c r="Q91" s="20" t="str">
        <f t="shared" si="48"/>
        <v/>
      </c>
      <c r="R91" s="20" t="str">
        <f t="shared" si="49"/>
        <v/>
      </c>
      <c r="S91" s="20" t="str">
        <f t="shared" si="50"/>
        <v/>
      </c>
      <c r="T91" s="16"/>
      <c r="U91" s="16" t="s">
        <v>349</v>
      </c>
      <c r="V91" s="21" t="s">
        <v>130</v>
      </c>
      <c r="W91" s="21" t="s">
        <v>130</v>
      </c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</row>
    <row r="92">
      <c r="A92" s="23">
        <f t="shared" si="43"/>
        <v>82</v>
      </c>
      <c r="B92" s="24">
        <v>107.0</v>
      </c>
      <c r="C92" s="16" t="s">
        <v>363</v>
      </c>
      <c r="D92" s="16" t="s">
        <v>197</v>
      </c>
      <c r="E92" s="16" t="s">
        <v>198</v>
      </c>
      <c r="F92" s="16" t="s">
        <v>199</v>
      </c>
      <c r="G92" s="17" t="s">
        <v>121</v>
      </c>
      <c r="H92" s="17" t="s">
        <v>122</v>
      </c>
      <c r="I92" s="16" t="s">
        <v>40</v>
      </c>
      <c r="J92" s="20" t="s">
        <v>348</v>
      </c>
      <c r="K92" s="20" t="str">
        <f t="shared" si="44"/>
        <v/>
      </c>
      <c r="L92" s="20"/>
      <c r="M92" s="20"/>
      <c r="N92" s="20" t="str">
        <f t="shared" si="45"/>
        <v/>
      </c>
      <c r="O92" s="19" t="str">
        <f t="shared" si="46"/>
        <v/>
      </c>
      <c r="P92" s="20" t="str">
        <f t="shared" si="47"/>
        <v/>
      </c>
      <c r="Q92" s="20" t="str">
        <f t="shared" si="48"/>
        <v/>
      </c>
      <c r="R92" s="20" t="str">
        <f t="shared" si="49"/>
        <v/>
      </c>
      <c r="S92" s="20" t="str">
        <f t="shared" si="50"/>
        <v/>
      </c>
      <c r="T92" s="16"/>
      <c r="U92" s="16" t="s">
        <v>349</v>
      </c>
      <c r="V92" s="21" t="s">
        <v>130</v>
      </c>
      <c r="W92" s="21" t="s">
        <v>130</v>
      </c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</row>
    <row r="93">
      <c r="A93" s="23">
        <f t="shared" si="43"/>
        <v>83</v>
      </c>
      <c r="B93" s="24">
        <v>118.0</v>
      </c>
      <c r="C93" s="16" t="s">
        <v>364</v>
      </c>
      <c r="D93" s="16" t="s">
        <v>197</v>
      </c>
      <c r="E93" s="16" t="s">
        <v>198</v>
      </c>
      <c r="F93" s="16" t="s">
        <v>199</v>
      </c>
      <c r="G93" s="17" t="s">
        <v>121</v>
      </c>
      <c r="H93" s="17" t="s">
        <v>122</v>
      </c>
      <c r="I93" s="16" t="s">
        <v>40</v>
      </c>
      <c r="J93" s="20" t="s">
        <v>348</v>
      </c>
      <c r="K93" s="20" t="str">
        <f t="shared" si="44"/>
        <v/>
      </c>
      <c r="L93" s="20"/>
      <c r="M93" s="20"/>
      <c r="N93" s="20" t="str">
        <f t="shared" si="45"/>
        <v/>
      </c>
      <c r="O93" s="19" t="str">
        <f t="shared" si="46"/>
        <v/>
      </c>
      <c r="P93" s="20" t="str">
        <f t="shared" si="47"/>
        <v/>
      </c>
      <c r="Q93" s="20" t="str">
        <f t="shared" si="48"/>
        <v/>
      </c>
      <c r="R93" s="20" t="str">
        <f t="shared" si="49"/>
        <v/>
      </c>
      <c r="S93" s="20" t="str">
        <f t="shared" si="50"/>
        <v/>
      </c>
      <c r="T93" s="16"/>
      <c r="U93" s="16" t="s">
        <v>349</v>
      </c>
      <c r="V93" s="21" t="s">
        <v>130</v>
      </c>
      <c r="W93" s="21" t="s">
        <v>130</v>
      </c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</row>
    <row r="94">
      <c r="A94" s="23">
        <f t="shared" si="43"/>
        <v>84</v>
      </c>
      <c r="B94" s="24">
        <v>132.0</v>
      </c>
      <c r="C94" s="16" t="s">
        <v>365</v>
      </c>
      <c r="D94" s="16" t="s">
        <v>197</v>
      </c>
      <c r="E94" s="16" t="s">
        <v>198</v>
      </c>
      <c r="F94" s="16" t="s">
        <v>199</v>
      </c>
      <c r="G94" s="17" t="s">
        <v>121</v>
      </c>
      <c r="H94" s="17" t="s">
        <v>122</v>
      </c>
      <c r="I94" s="16" t="s">
        <v>40</v>
      </c>
      <c r="J94" s="20" t="s">
        <v>348</v>
      </c>
      <c r="K94" s="20" t="str">
        <f t="shared" si="44"/>
        <v/>
      </c>
      <c r="L94" s="20"/>
      <c r="M94" s="20"/>
      <c r="N94" s="20" t="str">
        <f t="shared" si="45"/>
        <v/>
      </c>
      <c r="O94" s="19" t="str">
        <f t="shared" si="46"/>
        <v/>
      </c>
      <c r="P94" s="20" t="str">
        <f t="shared" si="47"/>
        <v/>
      </c>
      <c r="Q94" s="20" t="str">
        <f t="shared" si="48"/>
        <v/>
      </c>
      <c r="R94" s="20" t="str">
        <f t="shared" si="49"/>
        <v/>
      </c>
      <c r="S94" s="20" t="str">
        <f t="shared" si="50"/>
        <v/>
      </c>
      <c r="T94" s="16"/>
      <c r="U94" s="16" t="s">
        <v>349</v>
      </c>
      <c r="V94" s="21" t="s">
        <v>130</v>
      </c>
      <c r="W94" s="21" t="s">
        <v>130</v>
      </c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</row>
    <row r="95">
      <c r="A95" s="23">
        <f t="shared" si="43"/>
        <v>85</v>
      </c>
      <c r="B95" s="15" t="s">
        <v>366</v>
      </c>
      <c r="C95" s="16" t="s">
        <v>367</v>
      </c>
      <c r="D95" s="16" t="s">
        <v>197</v>
      </c>
      <c r="E95" s="16" t="s">
        <v>205</v>
      </c>
      <c r="F95" s="16" t="s">
        <v>206</v>
      </c>
      <c r="G95" s="17" t="s">
        <v>121</v>
      </c>
      <c r="H95" s="17" t="s">
        <v>122</v>
      </c>
      <c r="I95" s="16" t="s">
        <v>40</v>
      </c>
      <c r="J95" s="20" t="s">
        <v>348</v>
      </c>
      <c r="K95" s="20" t="str">
        <f t="shared" si="44"/>
        <v/>
      </c>
      <c r="L95" s="20"/>
      <c r="M95" s="20"/>
      <c r="N95" s="20" t="str">
        <f t="shared" si="45"/>
        <v/>
      </c>
      <c r="O95" s="19" t="str">
        <f t="shared" si="46"/>
        <v/>
      </c>
      <c r="P95" s="20" t="str">
        <f t="shared" si="47"/>
        <v/>
      </c>
      <c r="Q95" s="20" t="str">
        <f t="shared" si="48"/>
        <v/>
      </c>
      <c r="R95" s="20" t="str">
        <f t="shared" si="49"/>
        <v/>
      </c>
      <c r="S95" s="20" t="str">
        <f t="shared" si="50"/>
        <v/>
      </c>
      <c r="T95" s="16"/>
      <c r="U95" s="16" t="s">
        <v>368</v>
      </c>
      <c r="V95" s="21" t="s">
        <v>130</v>
      </c>
      <c r="W95" s="21" t="s">
        <v>130</v>
      </c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</row>
    <row r="96">
      <c r="A96" s="23">
        <f t="shared" si="43"/>
        <v>86</v>
      </c>
      <c r="B96" s="15" t="s">
        <v>369</v>
      </c>
      <c r="C96" s="16" t="s">
        <v>370</v>
      </c>
      <c r="D96" s="16" t="s">
        <v>197</v>
      </c>
      <c r="E96" s="16" t="s">
        <v>205</v>
      </c>
      <c r="F96" s="16" t="s">
        <v>206</v>
      </c>
      <c r="G96" s="17" t="s">
        <v>121</v>
      </c>
      <c r="H96" s="17" t="s">
        <v>122</v>
      </c>
      <c r="I96" s="16" t="s">
        <v>40</v>
      </c>
      <c r="J96" s="20" t="s">
        <v>348</v>
      </c>
      <c r="K96" s="20" t="str">
        <f t="shared" si="44"/>
        <v/>
      </c>
      <c r="L96" s="20"/>
      <c r="M96" s="20"/>
      <c r="N96" s="20" t="str">
        <f t="shared" si="45"/>
        <v/>
      </c>
      <c r="O96" s="19" t="str">
        <f t="shared" si="46"/>
        <v/>
      </c>
      <c r="P96" s="20" t="str">
        <f t="shared" si="47"/>
        <v/>
      </c>
      <c r="Q96" s="20" t="str">
        <f t="shared" si="48"/>
        <v/>
      </c>
      <c r="R96" s="20" t="str">
        <f t="shared" si="49"/>
        <v/>
      </c>
      <c r="S96" s="20" t="str">
        <f t="shared" si="50"/>
        <v/>
      </c>
      <c r="T96" s="16"/>
      <c r="U96" s="16" t="s">
        <v>368</v>
      </c>
      <c r="V96" s="21" t="s">
        <v>130</v>
      </c>
      <c r="W96" s="21" t="s">
        <v>130</v>
      </c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</row>
    <row r="97">
      <c r="A97" s="23">
        <f t="shared" si="43"/>
        <v>87</v>
      </c>
      <c r="B97" s="24">
        <v>125.0</v>
      </c>
      <c r="C97" s="16" t="s">
        <v>371</v>
      </c>
      <c r="D97" s="16" t="s">
        <v>197</v>
      </c>
      <c r="E97" s="16" t="s">
        <v>205</v>
      </c>
      <c r="F97" s="16" t="s">
        <v>206</v>
      </c>
      <c r="G97" s="17" t="s">
        <v>121</v>
      </c>
      <c r="H97" s="17" t="s">
        <v>122</v>
      </c>
      <c r="I97" s="16" t="s">
        <v>40</v>
      </c>
      <c r="J97" s="20" t="s">
        <v>348</v>
      </c>
      <c r="K97" s="20" t="str">
        <f t="shared" si="44"/>
        <v/>
      </c>
      <c r="L97" s="20"/>
      <c r="M97" s="20"/>
      <c r="N97" s="20" t="str">
        <f t="shared" si="45"/>
        <v/>
      </c>
      <c r="O97" s="19" t="str">
        <f t="shared" si="46"/>
        <v/>
      </c>
      <c r="P97" s="20" t="str">
        <f t="shared" si="47"/>
        <v/>
      </c>
      <c r="Q97" s="20" t="str">
        <f t="shared" si="48"/>
        <v/>
      </c>
      <c r="R97" s="20" t="str">
        <f t="shared" si="49"/>
        <v/>
      </c>
      <c r="S97" s="20" t="str">
        <f t="shared" si="50"/>
        <v/>
      </c>
      <c r="T97" s="16"/>
      <c r="U97" s="16" t="s">
        <v>372</v>
      </c>
      <c r="V97" s="21" t="s">
        <v>130</v>
      </c>
      <c r="W97" s="21" t="s">
        <v>130</v>
      </c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</row>
    <row r="98">
      <c r="A98" s="23">
        <f t="shared" si="43"/>
        <v>88</v>
      </c>
      <c r="B98" s="24">
        <v>140.0</v>
      </c>
      <c r="C98" s="16" t="s">
        <v>373</v>
      </c>
      <c r="D98" s="16" t="s">
        <v>197</v>
      </c>
      <c r="E98" s="16" t="s">
        <v>205</v>
      </c>
      <c r="F98" s="16" t="s">
        <v>206</v>
      </c>
      <c r="G98" s="17" t="s">
        <v>121</v>
      </c>
      <c r="H98" s="17" t="s">
        <v>122</v>
      </c>
      <c r="I98" s="16" t="s">
        <v>40</v>
      </c>
      <c r="J98" s="20" t="s">
        <v>348</v>
      </c>
      <c r="K98" s="20" t="str">
        <f t="shared" si="44"/>
        <v/>
      </c>
      <c r="L98" s="20"/>
      <c r="M98" s="20"/>
      <c r="N98" s="20" t="str">
        <f t="shared" si="45"/>
        <v/>
      </c>
      <c r="O98" s="19" t="str">
        <f t="shared" si="46"/>
        <v/>
      </c>
      <c r="P98" s="20" t="str">
        <f t="shared" si="47"/>
        <v/>
      </c>
      <c r="Q98" s="20" t="str">
        <f t="shared" si="48"/>
        <v/>
      </c>
      <c r="R98" s="20" t="str">
        <f t="shared" si="49"/>
        <v/>
      </c>
      <c r="S98" s="20" t="str">
        <f t="shared" si="50"/>
        <v/>
      </c>
      <c r="T98" s="16"/>
      <c r="U98" s="16" t="s">
        <v>368</v>
      </c>
      <c r="V98" s="21" t="s">
        <v>130</v>
      </c>
      <c r="W98" s="21" t="s">
        <v>130</v>
      </c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</row>
    <row r="99">
      <c r="A99" s="23">
        <f t="shared" si="43"/>
        <v>89</v>
      </c>
      <c r="B99" s="15" t="s">
        <v>374</v>
      </c>
      <c r="C99" s="16" t="s">
        <v>375</v>
      </c>
      <c r="D99" s="16" t="s">
        <v>197</v>
      </c>
      <c r="E99" s="16" t="s">
        <v>205</v>
      </c>
      <c r="F99" s="16" t="s">
        <v>222</v>
      </c>
      <c r="G99" s="17" t="s">
        <v>121</v>
      </c>
      <c r="H99" s="17" t="s">
        <v>122</v>
      </c>
      <c r="I99" s="16" t="s">
        <v>40</v>
      </c>
      <c r="J99" s="20" t="s">
        <v>348</v>
      </c>
      <c r="K99" s="20" t="str">
        <f t="shared" si="44"/>
        <v/>
      </c>
      <c r="L99" s="20"/>
      <c r="M99" s="20"/>
      <c r="N99" s="20" t="str">
        <f t="shared" si="45"/>
        <v/>
      </c>
      <c r="O99" s="19" t="str">
        <f t="shared" si="46"/>
        <v/>
      </c>
      <c r="P99" s="20" t="str">
        <f t="shared" si="47"/>
        <v/>
      </c>
      <c r="Q99" s="20" t="str">
        <f t="shared" si="48"/>
        <v/>
      </c>
      <c r="R99" s="20" t="str">
        <f t="shared" si="49"/>
        <v/>
      </c>
      <c r="S99" s="20" t="str">
        <f t="shared" si="50"/>
        <v/>
      </c>
      <c r="T99" s="16"/>
      <c r="U99" s="16" t="s">
        <v>376</v>
      </c>
      <c r="V99" s="21" t="s">
        <v>123</v>
      </c>
      <c r="W99" s="21" t="s">
        <v>123</v>
      </c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</row>
    <row r="100">
      <c r="A100" s="23">
        <f t="shared" si="43"/>
        <v>90</v>
      </c>
      <c r="B100" s="15" t="s">
        <v>377</v>
      </c>
      <c r="C100" s="16" t="s">
        <v>378</v>
      </c>
      <c r="D100" s="16" t="s">
        <v>197</v>
      </c>
      <c r="E100" s="16" t="s">
        <v>205</v>
      </c>
      <c r="F100" s="16" t="s">
        <v>222</v>
      </c>
      <c r="G100" s="17" t="s">
        <v>121</v>
      </c>
      <c r="H100" s="17" t="s">
        <v>122</v>
      </c>
      <c r="I100" s="16" t="s">
        <v>40</v>
      </c>
      <c r="J100" s="20" t="s">
        <v>348</v>
      </c>
      <c r="K100" s="20" t="str">
        <f t="shared" si="44"/>
        <v/>
      </c>
      <c r="L100" s="20"/>
      <c r="M100" s="20"/>
      <c r="N100" s="20" t="str">
        <f t="shared" si="45"/>
        <v/>
      </c>
      <c r="O100" s="19" t="str">
        <f t="shared" si="46"/>
        <v/>
      </c>
      <c r="P100" s="20" t="str">
        <f t="shared" si="47"/>
        <v/>
      </c>
      <c r="Q100" s="20" t="str">
        <f t="shared" si="48"/>
        <v/>
      </c>
      <c r="R100" s="20" t="str">
        <f t="shared" si="49"/>
        <v/>
      </c>
      <c r="S100" s="20" t="str">
        <f t="shared" si="50"/>
        <v/>
      </c>
      <c r="T100" s="16"/>
      <c r="U100" s="16" t="s">
        <v>376</v>
      </c>
      <c r="V100" s="21" t="s">
        <v>130</v>
      </c>
      <c r="W100" s="21" t="s">
        <v>130</v>
      </c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</row>
    <row r="101">
      <c r="A101" s="23">
        <f t="shared" si="43"/>
        <v>91</v>
      </c>
      <c r="B101" s="15" t="s">
        <v>379</v>
      </c>
      <c r="C101" s="16" t="s">
        <v>380</v>
      </c>
      <c r="D101" s="16" t="s">
        <v>197</v>
      </c>
      <c r="E101" s="16" t="s">
        <v>205</v>
      </c>
      <c r="F101" s="16" t="s">
        <v>222</v>
      </c>
      <c r="G101" s="17" t="s">
        <v>121</v>
      </c>
      <c r="H101" s="17" t="s">
        <v>122</v>
      </c>
      <c r="I101" s="16" t="s">
        <v>40</v>
      </c>
      <c r="J101" s="20" t="s">
        <v>348</v>
      </c>
      <c r="K101" s="20" t="str">
        <f t="shared" si="44"/>
        <v/>
      </c>
      <c r="L101" s="20"/>
      <c r="M101" s="20"/>
      <c r="N101" s="20" t="str">
        <f t="shared" si="45"/>
        <v/>
      </c>
      <c r="O101" s="19" t="str">
        <f t="shared" si="46"/>
        <v/>
      </c>
      <c r="P101" s="20" t="str">
        <f t="shared" si="47"/>
        <v/>
      </c>
      <c r="Q101" s="20" t="str">
        <f t="shared" si="48"/>
        <v/>
      </c>
      <c r="R101" s="20" t="str">
        <f t="shared" si="49"/>
        <v/>
      </c>
      <c r="S101" s="20" t="str">
        <f t="shared" si="50"/>
        <v/>
      </c>
      <c r="T101" s="16"/>
      <c r="U101" s="16"/>
      <c r="V101" s="21" t="s">
        <v>123</v>
      </c>
      <c r="W101" s="21" t="s">
        <v>123</v>
      </c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</row>
    <row r="102">
      <c r="A102" s="23">
        <f t="shared" si="43"/>
        <v>92</v>
      </c>
      <c r="B102" s="15" t="s">
        <v>381</v>
      </c>
      <c r="C102" s="16" t="s">
        <v>382</v>
      </c>
      <c r="D102" s="16" t="s">
        <v>197</v>
      </c>
      <c r="E102" s="16" t="s">
        <v>205</v>
      </c>
      <c r="F102" s="16" t="s">
        <v>222</v>
      </c>
      <c r="G102" s="17" t="s">
        <v>121</v>
      </c>
      <c r="H102" s="17" t="s">
        <v>122</v>
      </c>
      <c r="I102" s="16" t="s">
        <v>40</v>
      </c>
      <c r="J102" s="20" t="s">
        <v>348</v>
      </c>
      <c r="K102" s="20" t="str">
        <f t="shared" si="44"/>
        <v/>
      </c>
      <c r="L102" s="20"/>
      <c r="M102" s="20"/>
      <c r="N102" s="20" t="str">
        <f t="shared" si="45"/>
        <v/>
      </c>
      <c r="O102" s="19" t="str">
        <f t="shared" si="46"/>
        <v/>
      </c>
      <c r="P102" s="20" t="str">
        <f t="shared" si="47"/>
        <v/>
      </c>
      <c r="Q102" s="20" t="str">
        <f t="shared" si="48"/>
        <v/>
      </c>
      <c r="R102" s="20" t="str">
        <f t="shared" si="49"/>
        <v/>
      </c>
      <c r="S102" s="20" t="str">
        <f t="shared" si="50"/>
        <v/>
      </c>
      <c r="T102" s="16"/>
      <c r="U102" s="16" t="s">
        <v>383</v>
      </c>
      <c r="V102" s="21" t="s">
        <v>123</v>
      </c>
      <c r="W102" s="21" t="s">
        <v>123</v>
      </c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</row>
    <row r="103">
      <c r="A103" s="23">
        <f t="shared" si="43"/>
        <v>93</v>
      </c>
      <c r="B103" s="24">
        <v>110.0</v>
      </c>
      <c r="C103" s="16" t="s">
        <v>384</v>
      </c>
      <c r="D103" s="16" t="s">
        <v>197</v>
      </c>
      <c r="E103" s="16" t="s">
        <v>205</v>
      </c>
      <c r="F103" s="16" t="s">
        <v>222</v>
      </c>
      <c r="G103" s="17" t="s">
        <v>121</v>
      </c>
      <c r="H103" s="17" t="s">
        <v>122</v>
      </c>
      <c r="I103" s="16" t="s">
        <v>40</v>
      </c>
      <c r="J103" s="20" t="s">
        <v>348</v>
      </c>
      <c r="K103" s="20" t="str">
        <f t="shared" si="44"/>
        <v/>
      </c>
      <c r="L103" s="20"/>
      <c r="M103" s="20"/>
      <c r="N103" s="20" t="str">
        <f t="shared" si="45"/>
        <v/>
      </c>
      <c r="O103" s="19" t="str">
        <f t="shared" si="46"/>
        <v/>
      </c>
      <c r="P103" s="20" t="str">
        <f t="shared" si="47"/>
        <v/>
      </c>
      <c r="Q103" s="20" t="str">
        <f t="shared" si="48"/>
        <v/>
      </c>
      <c r="R103" s="20" t="str">
        <f t="shared" si="49"/>
        <v/>
      </c>
      <c r="S103" s="20" t="str">
        <f t="shared" si="50"/>
        <v/>
      </c>
      <c r="T103" s="16"/>
      <c r="U103" s="16" t="s">
        <v>385</v>
      </c>
      <c r="V103" s="21" t="s">
        <v>183</v>
      </c>
      <c r="W103" s="21" t="s">
        <v>183</v>
      </c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</row>
    <row r="104">
      <c r="A104" s="23">
        <f t="shared" si="43"/>
        <v>94</v>
      </c>
      <c r="B104" s="15" t="s">
        <v>386</v>
      </c>
      <c r="C104" s="16" t="s">
        <v>387</v>
      </c>
      <c r="D104" s="16" t="s">
        <v>197</v>
      </c>
      <c r="E104" s="16" t="s">
        <v>205</v>
      </c>
      <c r="F104" s="16" t="s">
        <v>227</v>
      </c>
      <c r="G104" s="17" t="s">
        <v>121</v>
      </c>
      <c r="H104" s="17" t="s">
        <v>122</v>
      </c>
      <c r="I104" s="16" t="s">
        <v>40</v>
      </c>
      <c r="J104" s="20" t="s">
        <v>348</v>
      </c>
      <c r="K104" s="20" t="str">
        <f t="shared" si="44"/>
        <v/>
      </c>
      <c r="L104" s="20"/>
      <c r="M104" s="20"/>
      <c r="N104" s="20" t="str">
        <f t="shared" si="45"/>
        <v/>
      </c>
      <c r="O104" s="19" t="str">
        <f t="shared" si="46"/>
        <v/>
      </c>
      <c r="P104" s="20" t="str">
        <f t="shared" si="47"/>
        <v/>
      </c>
      <c r="Q104" s="20" t="str">
        <f t="shared" si="48"/>
        <v/>
      </c>
      <c r="R104" s="20" t="str">
        <f t="shared" si="49"/>
        <v/>
      </c>
      <c r="S104" s="20" t="str">
        <f t="shared" si="50"/>
        <v/>
      </c>
      <c r="T104" s="16"/>
      <c r="U104" s="16" t="s">
        <v>388</v>
      </c>
      <c r="V104" s="21" t="s">
        <v>123</v>
      </c>
      <c r="W104" s="21" t="s">
        <v>123</v>
      </c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</row>
    <row r="105">
      <c r="A105" s="23">
        <f t="shared" si="43"/>
        <v>95</v>
      </c>
      <c r="B105" s="15" t="s">
        <v>389</v>
      </c>
      <c r="C105" s="16" t="s">
        <v>390</v>
      </c>
      <c r="D105" s="16" t="s">
        <v>197</v>
      </c>
      <c r="E105" s="16" t="s">
        <v>127</v>
      </c>
      <c r="F105" s="16" t="s">
        <v>391</v>
      </c>
      <c r="G105" s="17" t="s">
        <v>121</v>
      </c>
      <c r="H105" s="17" t="s">
        <v>122</v>
      </c>
      <c r="I105" s="16" t="s">
        <v>40</v>
      </c>
      <c r="J105" s="20" t="s">
        <v>348</v>
      </c>
      <c r="K105" s="20" t="str">
        <f t="shared" si="44"/>
        <v/>
      </c>
      <c r="L105" s="20"/>
      <c r="M105" s="20"/>
      <c r="N105" s="20" t="str">
        <f t="shared" si="45"/>
        <v/>
      </c>
      <c r="O105" s="19" t="str">
        <f t="shared" si="46"/>
        <v/>
      </c>
      <c r="P105" s="20" t="str">
        <f t="shared" si="47"/>
        <v/>
      </c>
      <c r="Q105" s="20" t="str">
        <f t="shared" si="48"/>
        <v/>
      </c>
      <c r="R105" s="20" t="str">
        <f t="shared" si="49"/>
        <v/>
      </c>
      <c r="S105" s="20" t="str">
        <f t="shared" si="50"/>
        <v/>
      </c>
      <c r="T105" s="16"/>
      <c r="U105" s="16" t="s">
        <v>372</v>
      </c>
      <c r="V105" s="21" t="s">
        <v>123</v>
      </c>
      <c r="W105" s="21" t="s">
        <v>123</v>
      </c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</row>
    <row r="106">
      <c r="A106" s="23">
        <f t="shared" si="43"/>
        <v>96</v>
      </c>
      <c r="B106" s="15" t="s">
        <v>392</v>
      </c>
      <c r="C106" s="16" t="s">
        <v>393</v>
      </c>
      <c r="D106" s="16" t="s">
        <v>197</v>
      </c>
      <c r="E106" s="16" t="s">
        <v>127</v>
      </c>
      <c r="F106" s="16" t="s">
        <v>394</v>
      </c>
      <c r="G106" s="17" t="s">
        <v>121</v>
      </c>
      <c r="H106" s="17" t="s">
        <v>129</v>
      </c>
      <c r="I106" s="16" t="s">
        <v>40</v>
      </c>
      <c r="J106" s="20" t="s">
        <v>348</v>
      </c>
      <c r="K106" s="20" t="str">
        <f t="shared" si="44"/>
        <v/>
      </c>
      <c r="L106" s="20"/>
      <c r="M106" s="20"/>
      <c r="N106" s="20" t="str">
        <f t="shared" si="45"/>
        <v/>
      </c>
      <c r="O106" s="19" t="str">
        <f t="shared" si="46"/>
        <v/>
      </c>
      <c r="P106" s="20" t="str">
        <f t="shared" si="47"/>
        <v/>
      </c>
      <c r="Q106" s="20" t="str">
        <f t="shared" si="48"/>
        <v/>
      </c>
      <c r="R106" s="20" t="str">
        <f t="shared" si="49"/>
        <v/>
      </c>
      <c r="S106" s="20" t="str">
        <f t="shared" si="50"/>
        <v/>
      </c>
      <c r="T106" s="16"/>
      <c r="U106" s="16"/>
      <c r="V106" s="21" t="s">
        <v>130</v>
      </c>
      <c r="W106" s="21" t="s">
        <v>130</v>
      </c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</row>
    <row r="107">
      <c r="A107" s="23">
        <f t="shared" si="43"/>
        <v>97</v>
      </c>
      <c r="B107" s="15" t="s">
        <v>395</v>
      </c>
      <c r="C107" s="16" t="s">
        <v>396</v>
      </c>
      <c r="D107" s="16" t="s">
        <v>197</v>
      </c>
      <c r="E107" s="16" t="s">
        <v>397</v>
      </c>
      <c r="F107" s="16" t="s">
        <v>398</v>
      </c>
      <c r="G107" s="17" t="s">
        <v>121</v>
      </c>
      <c r="H107" s="17" t="s">
        <v>122</v>
      </c>
      <c r="I107" s="16" t="s">
        <v>40</v>
      </c>
      <c r="J107" s="19">
        <v>1.0</v>
      </c>
      <c r="K107" s="20">
        <f t="shared" si="44"/>
        <v>1</v>
      </c>
      <c r="L107" s="20"/>
      <c r="M107" s="19">
        <v>1.0</v>
      </c>
      <c r="N107" s="20">
        <f t="shared" si="45"/>
        <v>1</v>
      </c>
      <c r="O107" s="19">
        <f t="shared" si="46"/>
        <v>1</v>
      </c>
      <c r="P107" s="20">
        <f t="shared" si="47"/>
        <v>1</v>
      </c>
      <c r="Q107" s="20">
        <f t="shared" si="48"/>
        <v>1</v>
      </c>
      <c r="R107" s="20">
        <f t="shared" si="49"/>
        <v>1</v>
      </c>
      <c r="S107" s="20">
        <f t="shared" si="50"/>
        <v>1</v>
      </c>
      <c r="T107" s="16"/>
      <c r="U107" s="16"/>
      <c r="V107" s="21" t="s">
        <v>123</v>
      </c>
      <c r="W107" s="21" t="s">
        <v>123</v>
      </c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</row>
    <row r="108">
      <c r="A108" s="23">
        <f t="shared" si="43"/>
        <v>98</v>
      </c>
      <c r="B108" s="15" t="s">
        <v>399</v>
      </c>
      <c r="C108" s="16" t="s">
        <v>400</v>
      </c>
      <c r="D108" s="16" t="s">
        <v>197</v>
      </c>
      <c r="E108" s="16" t="s">
        <v>397</v>
      </c>
      <c r="F108" s="16" t="s">
        <v>398</v>
      </c>
      <c r="G108" s="17" t="s">
        <v>121</v>
      </c>
      <c r="H108" s="17" t="s">
        <v>122</v>
      </c>
      <c r="I108" s="16" t="s">
        <v>40</v>
      </c>
      <c r="J108" s="20" t="s">
        <v>348</v>
      </c>
      <c r="K108" s="20" t="str">
        <f t="shared" si="44"/>
        <v/>
      </c>
      <c r="L108" s="20"/>
      <c r="M108" s="20"/>
      <c r="N108" s="20" t="str">
        <f t="shared" si="45"/>
        <v/>
      </c>
      <c r="O108" s="19" t="str">
        <f t="shared" si="46"/>
        <v/>
      </c>
      <c r="P108" s="20" t="str">
        <f t="shared" si="47"/>
        <v/>
      </c>
      <c r="Q108" s="20" t="str">
        <f t="shared" si="48"/>
        <v/>
      </c>
      <c r="R108" s="20" t="str">
        <f t="shared" si="49"/>
        <v/>
      </c>
      <c r="S108" s="20" t="str">
        <f t="shared" si="50"/>
        <v/>
      </c>
      <c r="T108" s="16"/>
      <c r="U108" s="16" t="s">
        <v>401</v>
      </c>
      <c r="V108" s="21" t="s">
        <v>123</v>
      </c>
      <c r="W108" s="21" t="s">
        <v>123</v>
      </c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</row>
    <row r="109">
      <c r="A109" s="23">
        <f t="shared" si="43"/>
        <v>99</v>
      </c>
      <c r="B109" s="15" t="s">
        <v>402</v>
      </c>
      <c r="C109" s="16" t="s">
        <v>403</v>
      </c>
      <c r="D109" s="16" t="s">
        <v>197</v>
      </c>
      <c r="E109" s="16" t="s">
        <v>249</v>
      </c>
      <c r="F109" s="16" t="s">
        <v>250</v>
      </c>
      <c r="G109" s="17" t="s">
        <v>121</v>
      </c>
      <c r="H109" s="17" t="s">
        <v>122</v>
      </c>
      <c r="I109" s="16" t="s">
        <v>40</v>
      </c>
      <c r="J109" s="20" t="s">
        <v>348</v>
      </c>
      <c r="K109" s="20" t="str">
        <f t="shared" si="44"/>
        <v/>
      </c>
      <c r="L109" s="20"/>
      <c r="M109" s="20"/>
      <c r="N109" s="20" t="str">
        <f t="shared" si="45"/>
        <v/>
      </c>
      <c r="O109" s="19" t="str">
        <f t="shared" si="46"/>
        <v/>
      </c>
      <c r="P109" s="20" t="str">
        <f t="shared" si="47"/>
        <v/>
      </c>
      <c r="Q109" s="20" t="str">
        <f t="shared" si="48"/>
        <v/>
      </c>
      <c r="R109" s="20" t="str">
        <f t="shared" si="49"/>
        <v/>
      </c>
      <c r="S109" s="20" t="str">
        <f t="shared" si="50"/>
        <v/>
      </c>
      <c r="T109" s="16"/>
      <c r="U109" s="16" t="s">
        <v>352</v>
      </c>
      <c r="V109" s="21" t="s">
        <v>130</v>
      </c>
      <c r="W109" s="21" t="s">
        <v>130</v>
      </c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</row>
    <row r="110">
      <c r="A110" s="23">
        <f t="shared" si="43"/>
        <v>100</v>
      </c>
      <c r="B110" s="15" t="s">
        <v>404</v>
      </c>
      <c r="C110" s="16" t="s">
        <v>405</v>
      </c>
      <c r="D110" s="16" t="s">
        <v>197</v>
      </c>
      <c r="E110" s="16" t="s">
        <v>249</v>
      </c>
      <c r="F110" s="16" t="s">
        <v>250</v>
      </c>
      <c r="G110" s="17" t="s">
        <v>121</v>
      </c>
      <c r="H110" s="17" t="s">
        <v>122</v>
      </c>
      <c r="I110" s="16" t="s">
        <v>40</v>
      </c>
      <c r="J110" s="20" t="s">
        <v>348</v>
      </c>
      <c r="K110" s="20" t="str">
        <f t="shared" si="44"/>
        <v/>
      </c>
      <c r="L110" s="20"/>
      <c r="M110" s="20"/>
      <c r="N110" s="20" t="str">
        <f t="shared" si="45"/>
        <v/>
      </c>
      <c r="O110" s="19" t="str">
        <f t="shared" si="46"/>
        <v/>
      </c>
      <c r="P110" s="20" t="str">
        <f t="shared" si="47"/>
        <v/>
      </c>
      <c r="Q110" s="20" t="str">
        <f t="shared" si="48"/>
        <v/>
      </c>
      <c r="R110" s="20" t="str">
        <f t="shared" si="49"/>
        <v/>
      </c>
      <c r="S110" s="20" t="str">
        <f t="shared" si="50"/>
        <v/>
      </c>
      <c r="T110" s="16"/>
      <c r="U110" s="16"/>
      <c r="V110" s="21" t="s">
        <v>130</v>
      </c>
      <c r="W110" s="21" t="s">
        <v>130</v>
      </c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</row>
    <row r="111">
      <c r="A111" s="23">
        <f t="shared" si="43"/>
        <v>101</v>
      </c>
      <c r="B111" s="24">
        <v>105.0</v>
      </c>
      <c r="C111" s="16" t="s">
        <v>406</v>
      </c>
      <c r="D111" s="16" t="s">
        <v>197</v>
      </c>
      <c r="E111" s="16" t="s">
        <v>249</v>
      </c>
      <c r="F111" s="16" t="s">
        <v>250</v>
      </c>
      <c r="G111" s="17" t="s">
        <v>121</v>
      </c>
      <c r="H111" s="17" t="s">
        <v>122</v>
      </c>
      <c r="I111" s="16" t="s">
        <v>40</v>
      </c>
      <c r="J111" s="20" t="s">
        <v>348</v>
      </c>
      <c r="K111" s="20" t="str">
        <f t="shared" si="44"/>
        <v/>
      </c>
      <c r="L111" s="20"/>
      <c r="M111" s="20"/>
      <c r="N111" s="20" t="str">
        <f t="shared" si="45"/>
        <v/>
      </c>
      <c r="O111" s="19" t="str">
        <f t="shared" si="46"/>
        <v/>
      </c>
      <c r="P111" s="20" t="str">
        <f t="shared" si="47"/>
        <v/>
      </c>
      <c r="Q111" s="20" t="str">
        <f t="shared" si="48"/>
        <v/>
      </c>
      <c r="R111" s="20" t="str">
        <f t="shared" si="49"/>
        <v/>
      </c>
      <c r="S111" s="20" t="str">
        <f t="shared" si="50"/>
        <v/>
      </c>
      <c r="T111" s="16"/>
      <c r="U111" s="16" t="s">
        <v>407</v>
      </c>
      <c r="V111" s="21" t="s">
        <v>130</v>
      </c>
      <c r="W111" s="21" t="s">
        <v>130</v>
      </c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</row>
    <row r="112">
      <c r="A112" s="23">
        <f t="shared" si="43"/>
        <v>102</v>
      </c>
      <c r="B112" s="24">
        <v>136.0</v>
      </c>
      <c r="C112" s="16" t="s">
        <v>408</v>
      </c>
      <c r="D112" s="16" t="s">
        <v>197</v>
      </c>
      <c r="E112" s="16" t="s">
        <v>249</v>
      </c>
      <c r="F112" s="16" t="s">
        <v>250</v>
      </c>
      <c r="G112" s="17" t="s">
        <v>121</v>
      </c>
      <c r="H112" s="17" t="s">
        <v>122</v>
      </c>
      <c r="I112" s="16" t="s">
        <v>40</v>
      </c>
      <c r="J112" s="20" t="s">
        <v>348</v>
      </c>
      <c r="K112" s="20" t="str">
        <f t="shared" si="44"/>
        <v/>
      </c>
      <c r="L112" s="20"/>
      <c r="M112" s="20"/>
      <c r="N112" s="20" t="str">
        <f t="shared" si="45"/>
        <v/>
      </c>
      <c r="O112" s="19" t="str">
        <f t="shared" si="46"/>
        <v/>
      </c>
      <c r="P112" s="20" t="str">
        <f t="shared" si="47"/>
        <v/>
      </c>
      <c r="Q112" s="20" t="str">
        <f t="shared" si="48"/>
        <v/>
      </c>
      <c r="R112" s="20" t="str">
        <f t="shared" si="49"/>
        <v/>
      </c>
      <c r="S112" s="20" t="str">
        <f t="shared" si="50"/>
        <v/>
      </c>
      <c r="T112" s="16"/>
      <c r="U112" s="16" t="s">
        <v>407</v>
      </c>
      <c r="V112" s="21" t="s">
        <v>130</v>
      </c>
      <c r="W112" s="21" t="s">
        <v>130</v>
      </c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</row>
    <row r="113">
      <c r="A113" s="23">
        <f t="shared" si="43"/>
        <v>103</v>
      </c>
      <c r="B113" s="24">
        <v>137.0</v>
      </c>
      <c r="C113" s="16" t="s">
        <v>409</v>
      </c>
      <c r="D113" s="16" t="s">
        <v>197</v>
      </c>
      <c r="E113" s="16" t="s">
        <v>249</v>
      </c>
      <c r="F113" s="16" t="s">
        <v>250</v>
      </c>
      <c r="G113" s="17" t="s">
        <v>121</v>
      </c>
      <c r="H113" s="17" t="s">
        <v>122</v>
      </c>
      <c r="I113" s="16" t="s">
        <v>40</v>
      </c>
      <c r="J113" s="20" t="s">
        <v>348</v>
      </c>
      <c r="K113" s="20" t="str">
        <f t="shared" si="44"/>
        <v/>
      </c>
      <c r="L113" s="20"/>
      <c r="M113" s="20"/>
      <c r="N113" s="20" t="str">
        <f t="shared" si="45"/>
        <v/>
      </c>
      <c r="O113" s="19" t="str">
        <f t="shared" si="46"/>
        <v/>
      </c>
      <c r="P113" s="20" t="str">
        <f t="shared" si="47"/>
        <v/>
      </c>
      <c r="Q113" s="20" t="str">
        <f t="shared" si="48"/>
        <v/>
      </c>
      <c r="R113" s="20" t="str">
        <f t="shared" si="49"/>
        <v/>
      </c>
      <c r="S113" s="20" t="str">
        <f t="shared" si="50"/>
        <v/>
      </c>
      <c r="T113" s="16"/>
      <c r="U113" s="16" t="s">
        <v>407</v>
      </c>
      <c r="V113" s="21" t="s">
        <v>130</v>
      </c>
      <c r="W113" s="21" t="s">
        <v>130</v>
      </c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</row>
    <row r="114">
      <c r="A114" s="23"/>
      <c r="B114" s="52"/>
      <c r="C114" s="53"/>
      <c r="D114" s="53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3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</row>
    <row r="115">
      <c r="A115" s="23"/>
      <c r="B115" s="52"/>
      <c r="C115" s="53"/>
      <c r="D115" s="53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3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</row>
    <row r="116">
      <c r="A116" s="23"/>
      <c r="B116" s="52"/>
      <c r="C116" s="53"/>
      <c r="D116" s="53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3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</row>
    <row r="117">
      <c r="A117" s="23"/>
      <c r="B117" s="52"/>
      <c r="C117" s="53"/>
      <c r="D117" s="53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3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</row>
    <row r="118">
      <c r="A118" s="23"/>
      <c r="B118" s="52"/>
      <c r="C118" s="53"/>
      <c r="D118" s="53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3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</row>
    <row r="119">
      <c r="A119" s="55"/>
      <c r="B119" s="55"/>
      <c r="C119" s="56" t="s">
        <v>410</v>
      </c>
      <c r="D119" s="55"/>
      <c r="E119" s="55"/>
      <c r="F119" s="55"/>
      <c r="G119" s="55"/>
      <c r="H119" s="55"/>
      <c r="I119" s="55"/>
      <c r="J119" s="57">
        <f t="shared" ref="J119:K119" si="51">sum(J4:J118)</f>
        <v>66</v>
      </c>
      <c r="K119" s="57">
        <f t="shared" si="51"/>
        <v>34</v>
      </c>
      <c r="L119" s="55"/>
      <c r="M119" s="57">
        <f t="shared" ref="M119:S119" si="52">sum(M4:M118)</f>
        <v>32</v>
      </c>
      <c r="N119" s="57">
        <f t="shared" si="52"/>
        <v>34</v>
      </c>
      <c r="O119" s="57">
        <f t="shared" si="52"/>
        <v>44</v>
      </c>
      <c r="P119" s="57">
        <f t="shared" si="52"/>
        <v>65</v>
      </c>
      <c r="Q119" s="57">
        <f t="shared" si="52"/>
        <v>57</v>
      </c>
      <c r="R119" s="57">
        <f t="shared" si="52"/>
        <v>57</v>
      </c>
      <c r="S119" s="57">
        <f t="shared" si="52"/>
        <v>34</v>
      </c>
      <c r="T119" s="55"/>
      <c r="U119" s="55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</row>
  </sheetData>
  <autoFilter ref="$A$3:$AI$11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26.0"/>
    <col customWidth="1" min="5" max="5" width="21.63"/>
  </cols>
  <sheetData>
    <row r="1">
      <c r="A1" s="58" t="s">
        <v>411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59"/>
      <c r="B3" s="60" t="s">
        <v>412</v>
      </c>
      <c r="C3" s="61"/>
      <c r="D3" s="60" t="s">
        <v>413</v>
      </c>
      <c r="E3" s="61"/>
      <c r="F3" s="60" t="s">
        <v>414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59"/>
      <c r="B4" s="60" t="s">
        <v>415</v>
      </c>
      <c r="C4" s="61"/>
      <c r="D4" s="60" t="s">
        <v>13</v>
      </c>
      <c r="E4" s="61"/>
      <c r="F4" s="60" t="s">
        <v>416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59"/>
      <c r="B5" s="60" t="s">
        <v>417</v>
      </c>
      <c r="C5" s="61"/>
      <c r="D5" s="60" t="s">
        <v>418</v>
      </c>
      <c r="E5" s="61"/>
      <c r="F5" s="60" t="s">
        <v>417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59"/>
      <c r="B6" s="59"/>
      <c r="C6" s="59"/>
      <c r="D6" s="58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58">
        <v>1.0</v>
      </c>
      <c r="B7" s="58" t="s">
        <v>419</v>
      </c>
      <c r="C7" s="59"/>
      <c r="D7" s="58" t="s">
        <v>420</v>
      </c>
      <c r="E7" s="59"/>
      <c r="F7" s="62" t="s">
        <v>421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59">
        <f t="shared" ref="A8:A18" si="1">A7+1</f>
        <v>2</v>
      </c>
      <c r="B8" s="58" t="s">
        <v>422</v>
      </c>
      <c r="C8" s="59"/>
      <c r="D8" s="58" t="s">
        <v>423</v>
      </c>
      <c r="E8" s="59"/>
      <c r="F8" s="58" t="s">
        <v>424</v>
      </c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59">
        <f t="shared" si="1"/>
        <v>3</v>
      </c>
      <c r="B9" s="58" t="s">
        <v>425</v>
      </c>
      <c r="C9" s="59"/>
      <c r="D9" s="58" t="s">
        <v>426</v>
      </c>
      <c r="E9" s="59"/>
      <c r="F9" s="62" t="s">
        <v>427</v>
      </c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59">
        <f t="shared" si="1"/>
        <v>4</v>
      </c>
      <c r="B10" s="58" t="s">
        <v>428</v>
      </c>
      <c r="C10" s="59"/>
      <c r="D10" s="58" t="s">
        <v>429</v>
      </c>
      <c r="E10" s="59"/>
      <c r="F10" s="58" t="s">
        <v>430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>
        <f t="shared" si="1"/>
        <v>5</v>
      </c>
      <c r="B11" s="58" t="s">
        <v>431</v>
      </c>
      <c r="C11" s="59"/>
      <c r="D11" s="58" t="s">
        <v>432</v>
      </c>
      <c r="E11" s="59"/>
      <c r="F11" s="58" t="s">
        <v>433</v>
      </c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59">
        <f t="shared" si="1"/>
        <v>6</v>
      </c>
      <c r="B12" s="58" t="s">
        <v>434</v>
      </c>
      <c r="C12" s="59"/>
      <c r="D12" s="58" t="s">
        <v>435</v>
      </c>
      <c r="E12" s="59"/>
      <c r="F12" s="58" t="s">
        <v>436</v>
      </c>
      <c r="G12" s="59"/>
      <c r="I12" s="58" t="s">
        <v>437</v>
      </c>
      <c r="J12" s="58" t="s">
        <v>438</v>
      </c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>
        <f t="shared" si="1"/>
        <v>7</v>
      </c>
      <c r="B13" s="58" t="s">
        <v>439</v>
      </c>
      <c r="C13" s="59"/>
      <c r="D13" s="58" t="s">
        <v>440</v>
      </c>
      <c r="E13" s="59"/>
      <c r="F13" s="58" t="s">
        <v>441</v>
      </c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>
        <f t="shared" si="1"/>
        <v>8</v>
      </c>
      <c r="B14" s="58" t="s">
        <v>442</v>
      </c>
      <c r="C14" s="59"/>
      <c r="D14" s="58" t="s">
        <v>443</v>
      </c>
      <c r="E14" s="59"/>
      <c r="F14" s="58" t="s">
        <v>444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>
        <f t="shared" si="1"/>
        <v>9</v>
      </c>
      <c r="B15" s="58" t="s">
        <v>445</v>
      </c>
      <c r="C15" s="59"/>
      <c r="D15" s="58" t="s">
        <v>446</v>
      </c>
      <c r="E15" s="59"/>
      <c r="F15" s="62" t="s">
        <v>447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>
        <f t="shared" si="1"/>
        <v>10</v>
      </c>
      <c r="B16" s="58" t="s">
        <v>448</v>
      </c>
      <c r="C16" s="59"/>
      <c r="D16" s="58" t="s">
        <v>449</v>
      </c>
      <c r="E16" s="59"/>
      <c r="F16" s="58" t="s">
        <v>450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>
        <f t="shared" si="1"/>
        <v>11</v>
      </c>
      <c r="C17" s="59"/>
      <c r="D17" s="58" t="s">
        <v>448</v>
      </c>
      <c r="E17" s="59"/>
      <c r="F17" s="1" t="s">
        <v>451</v>
      </c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>
        <f t="shared" si="1"/>
        <v>12</v>
      </c>
      <c r="B18" s="59"/>
      <c r="C18" s="59"/>
      <c r="D18" s="58" t="s">
        <v>452</v>
      </c>
      <c r="E18" s="59"/>
      <c r="F18" s="58" t="s">
        <v>448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59"/>
      <c r="C19" s="59"/>
      <c r="D19" s="63"/>
      <c r="E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>
      <c r="A20" s="59"/>
      <c r="B20" s="59"/>
      <c r="C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>
      <c r="A23" s="59"/>
      <c r="B23" s="59"/>
      <c r="C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2" max="2" width="44.75"/>
    <col customWidth="1" min="3" max="3" width="29.88"/>
    <col customWidth="1" min="4" max="4" width="59.13"/>
    <col customWidth="1" min="5" max="5" width="29.25"/>
  </cols>
  <sheetData>
    <row r="1">
      <c r="A1" s="3" t="s">
        <v>453</v>
      </c>
    </row>
    <row r="2">
      <c r="A2" s="1" t="s">
        <v>94</v>
      </c>
    </row>
    <row r="3">
      <c r="A3" s="1" t="s">
        <v>454</v>
      </c>
    </row>
    <row r="5">
      <c r="A5" s="64" t="s">
        <v>59</v>
      </c>
      <c r="B5" s="64" t="s">
        <v>455</v>
      </c>
      <c r="C5" s="64" t="s">
        <v>456</v>
      </c>
      <c r="D5" s="64" t="s">
        <v>457</v>
      </c>
      <c r="E5" s="65" t="s">
        <v>458</v>
      </c>
    </row>
    <row r="6" ht="21.0" customHeight="1">
      <c r="A6" s="1" t="s">
        <v>459</v>
      </c>
      <c r="B6" s="1" t="s">
        <v>460</v>
      </c>
      <c r="C6" s="1" t="s">
        <v>461</v>
      </c>
      <c r="D6" s="1" t="s">
        <v>462</v>
      </c>
    </row>
    <row r="7" ht="21.0" customHeight="1">
      <c r="A7" s="1" t="s">
        <v>463</v>
      </c>
      <c r="B7" s="1" t="s">
        <v>464</v>
      </c>
      <c r="C7" s="1" t="s">
        <v>465</v>
      </c>
      <c r="D7" s="1" t="s">
        <v>466</v>
      </c>
    </row>
    <row r="8" ht="21.0" customHeight="1">
      <c r="A8" s="1" t="s">
        <v>467</v>
      </c>
      <c r="B8" s="1" t="s">
        <v>468</v>
      </c>
      <c r="C8" s="1" t="s">
        <v>469</v>
      </c>
      <c r="D8" s="1" t="s">
        <v>470</v>
      </c>
    </row>
    <row r="9" ht="21.0" customHeight="1">
      <c r="A9" s="1" t="s">
        <v>471</v>
      </c>
      <c r="B9" s="1" t="s">
        <v>472</v>
      </c>
      <c r="C9" s="1" t="s">
        <v>397</v>
      </c>
      <c r="D9" s="1" t="s">
        <v>473</v>
      </c>
    </row>
    <row r="10" ht="21.0" customHeight="1">
      <c r="A10" s="1" t="s">
        <v>474</v>
      </c>
      <c r="B10" s="1" t="s">
        <v>475</v>
      </c>
      <c r="C10" s="1" t="s">
        <v>476</v>
      </c>
      <c r="D10" s="1" t="s">
        <v>477</v>
      </c>
    </row>
    <row r="11" ht="21.0" customHeight="1">
      <c r="A11" s="1" t="s">
        <v>478</v>
      </c>
      <c r="B11" s="1" t="s">
        <v>479</v>
      </c>
      <c r="C11" s="1" t="s">
        <v>480</v>
      </c>
      <c r="D11" s="1" t="s">
        <v>481</v>
      </c>
    </row>
    <row r="12" ht="21.0" customHeight="1">
      <c r="A12" s="1" t="s">
        <v>482</v>
      </c>
      <c r="B12" s="1" t="s">
        <v>483</v>
      </c>
      <c r="C12" s="1" t="s">
        <v>484</v>
      </c>
      <c r="D12" s="1" t="s">
        <v>485</v>
      </c>
    </row>
    <row r="13" ht="21.0" customHeight="1">
      <c r="A13" s="1" t="s">
        <v>486</v>
      </c>
      <c r="B13" s="1" t="s">
        <v>487</v>
      </c>
      <c r="D13" s="1" t="s">
        <v>488</v>
      </c>
    </row>
    <row r="14" ht="21.0" customHeight="1">
      <c r="A14" s="66" t="s">
        <v>489</v>
      </c>
      <c r="B14" s="66" t="s">
        <v>490</v>
      </c>
      <c r="C14" s="66" t="s">
        <v>491</v>
      </c>
      <c r="D14" s="66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21.0" customHeight="1">
      <c r="A15" s="66" t="s">
        <v>492</v>
      </c>
      <c r="B15" s="66" t="s">
        <v>493</v>
      </c>
      <c r="C15" s="66" t="s">
        <v>494</v>
      </c>
      <c r="D15" s="66" t="s">
        <v>495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21.0" customHeight="1">
      <c r="A16" s="1" t="s">
        <v>496</v>
      </c>
      <c r="B16" s="1" t="s">
        <v>497</v>
      </c>
      <c r="C16" s="1" t="s">
        <v>498</v>
      </c>
      <c r="D16" s="1" t="s">
        <v>499</v>
      </c>
    </row>
    <row r="17" ht="21.0" customHeight="1">
      <c r="A17" s="1" t="s">
        <v>500</v>
      </c>
      <c r="B17" s="1" t="s">
        <v>501</v>
      </c>
      <c r="C17" s="1" t="s">
        <v>502</v>
      </c>
      <c r="D17" s="1" t="s">
        <v>503</v>
      </c>
    </row>
    <row r="18" ht="21.0" customHeight="1">
      <c r="A18" s="1" t="s">
        <v>504</v>
      </c>
      <c r="B18" s="1" t="s">
        <v>505</v>
      </c>
      <c r="C18" s="1" t="s">
        <v>498</v>
      </c>
      <c r="D18" s="1" t="s">
        <v>506</v>
      </c>
    </row>
    <row r="19" ht="21.0" customHeight="1">
      <c r="A19" s="1" t="s">
        <v>507</v>
      </c>
      <c r="B19" s="1" t="s">
        <v>508</v>
      </c>
      <c r="C19" s="1" t="s">
        <v>40</v>
      </c>
    </row>
    <row r="20" ht="21.0" customHeight="1">
      <c r="A20" s="1" t="s">
        <v>509</v>
      </c>
      <c r="B20" s="1" t="s">
        <v>510</v>
      </c>
      <c r="C20" s="1" t="s">
        <v>511</v>
      </c>
      <c r="D20" s="1" t="s">
        <v>512</v>
      </c>
    </row>
    <row r="21" ht="21.0" customHeight="1">
      <c r="A21" s="1" t="s">
        <v>513</v>
      </c>
      <c r="B21" s="1" t="s">
        <v>514</v>
      </c>
      <c r="C21" s="1" t="s">
        <v>515</v>
      </c>
      <c r="D21" s="1" t="s">
        <v>516</v>
      </c>
    </row>
    <row r="22" ht="21.0" customHeight="1">
      <c r="A22" s="1" t="s">
        <v>517</v>
      </c>
      <c r="B22" s="1" t="s">
        <v>518</v>
      </c>
      <c r="C22" s="1" t="s">
        <v>519</v>
      </c>
    </row>
    <row r="23" ht="21.0" customHeight="1">
      <c r="A23" s="68">
        <v>0.875</v>
      </c>
      <c r="B23" s="1" t="s">
        <v>520</v>
      </c>
      <c r="C23" s="1" t="s">
        <v>521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4.13"/>
    <col customWidth="1" min="2" max="2" width="35.13"/>
    <col customWidth="1" min="7" max="7" width="52.5"/>
  </cols>
  <sheetData>
    <row r="1">
      <c r="A1" s="3" t="s">
        <v>522</v>
      </c>
      <c r="B1" s="69"/>
    </row>
    <row r="2">
      <c r="B2" s="69"/>
    </row>
    <row r="3">
      <c r="B3" s="69"/>
      <c r="H3" s="1" t="s">
        <v>523</v>
      </c>
    </row>
    <row r="4">
      <c r="A4" s="70" t="s">
        <v>1</v>
      </c>
      <c r="B4" s="71" t="s">
        <v>524</v>
      </c>
      <c r="C4" s="70" t="s">
        <v>525</v>
      </c>
      <c r="D4" s="70" t="s">
        <v>526</v>
      </c>
      <c r="E4" s="70" t="s">
        <v>527</v>
      </c>
      <c r="F4" s="70" t="s">
        <v>528</v>
      </c>
      <c r="G4" s="70" t="s">
        <v>113</v>
      </c>
      <c r="H4" s="3" t="s">
        <v>114</v>
      </c>
      <c r="I4" s="3" t="s">
        <v>529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</row>
    <row r="5">
      <c r="A5" s="73" t="s">
        <v>530</v>
      </c>
      <c r="B5" s="74" t="s">
        <v>531</v>
      </c>
      <c r="C5" s="73"/>
      <c r="D5" s="73"/>
      <c r="E5" s="75"/>
      <c r="F5" s="76">
        <f>F6+F15+F31</f>
        <v>146660000</v>
      </c>
      <c r="G5" s="73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</row>
    <row r="6">
      <c r="A6" s="77" t="s">
        <v>532</v>
      </c>
      <c r="B6" s="78" t="s">
        <v>533</v>
      </c>
      <c r="C6" s="79"/>
      <c r="D6" s="79"/>
      <c r="E6" s="80"/>
      <c r="F6" s="81">
        <f>sum(F7:F14)</f>
        <v>49400000</v>
      </c>
      <c r="G6" s="79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</row>
    <row r="7">
      <c r="A7" s="82">
        <v>1.0</v>
      </c>
      <c r="B7" s="83" t="s">
        <v>534</v>
      </c>
      <c r="C7" s="84" t="s">
        <v>535</v>
      </c>
      <c r="D7" s="84">
        <v>1.0</v>
      </c>
      <c r="E7" s="85">
        <v>1.6E7</v>
      </c>
      <c r="F7" s="86">
        <f t="shared" ref="F7:F14" si="1">E7*D7</f>
        <v>16000000</v>
      </c>
      <c r="G7" s="84" t="s">
        <v>536</v>
      </c>
      <c r="H7" s="87"/>
      <c r="I7" s="88">
        <f>F7</f>
        <v>16000000</v>
      </c>
    </row>
    <row r="8">
      <c r="A8" s="82">
        <f t="shared" ref="A8:A14" si="2">A7+1</f>
        <v>2</v>
      </c>
      <c r="B8" s="83" t="s">
        <v>537</v>
      </c>
      <c r="C8" s="84" t="s">
        <v>538</v>
      </c>
      <c r="D8" s="84">
        <f>D7</f>
        <v>1</v>
      </c>
      <c r="E8" s="85">
        <v>500000.0</v>
      </c>
      <c r="F8" s="86">
        <f t="shared" si="1"/>
        <v>500000</v>
      </c>
      <c r="G8" s="84" t="s">
        <v>539</v>
      </c>
      <c r="H8" s="88">
        <f t="shared" ref="H8:H11" si="3">F8</f>
        <v>500000</v>
      </c>
    </row>
    <row r="9">
      <c r="A9" s="82">
        <f t="shared" si="2"/>
        <v>3</v>
      </c>
      <c r="B9" s="83" t="s">
        <v>540</v>
      </c>
      <c r="C9" s="84" t="s">
        <v>535</v>
      </c>
      <c r="D9" s="84">
        <v>1.0</v>
      </c>
      <c r="E9" s="89">
        <f>'Sắp xếp phòng'!N5</f>
        <v>9200000</v>
      </c>
      <c r="F9" s="86">
        <f t="shared" si="1"/>
        <v>9200000</v>
      </c>
      <c r="G9" s="84" t="s">
        <v>541</v>
      </c>
      <c r="H9" s="90">
        <f t="shared" si="3"/>
        <v>9200000</v>
      </c>
      <c r="I9" s="1"/>
      <c r="J9" s="1" t="s">
        <v>542</v>
      </c>
    </row>
    <row r="10">
      <c r="A10" s="82">
        <f t="shared" si="2"/>
        <v>4</v>
      </c>
      <c r="B10" s="83" t="s">
        <v>543</v>
      </c>
      <c r="C10" s="84" t="s">
        <v>544</v>
      </c>
      <c r="D10" s="91">
        <f>'Danh sách MASTER'!N119</f>
        <v>34</v>
      </c>
      <c r="E10" s="85">
        <v>50000.0</v>
      </c>
      <c r="F10" s="86">
        <f t="shared" si="1"/>
        <v>1700000</v>
      </c>
      <c r="G10" s="92"/>
      <c r="H10" s="90">
        <f t="shared" si="3"/>
        <v>1700000</v>
      </c>
      <c r="L10" s="1">
        <v>55000.0</v>
      </c>
      <c r="M10" s="93">
        <f>0.5*1.5*L10</f>
        <v>41250</v>
      </c>
    </row>
    <row r="11">
      <c r="A11" s="94">
        <f t="shared" si="2"/>
        <v>5</v>
      </c>
      <c r="B11" s="83" t="s">
        <v>545</v>
      </c>
      <c r="C11" s="84" t="s">
        <v>544</v>
      </c>
      <c r="D11" s="95">
        <f>D10</f>
        <v>34</v>
      </c>
      <c r="E11" s="85">
        <v>200000.0</v>
      </c>
      <c r="F11" s="86">
        <f t="shared" si="1"/>
        <v>6800000</v>
      </c>
      <c r="G11" s="92"/>
      <c r="H11" s="90">
        <f t="shared" si="3"/>
        <v>6800000</v>
      </c>
    </row>
    <row r="12">
      <c r="A12" s="94">
        <f t="shared" si="2"/>
        <v>6</v>
      </c>
      <c r="B12" s="84" t="s">
        <v>546</v>
      </c>
      <c r="C12" s="84" t="s">
        <v>535</v>
      </c>
      <c r="D12" s="84">
        <v>2.0</v>
      </c>
      <c r="E12" s="85">
        <v>2000000.0</v>
      </c>
      <c r="F12" s="86">
        <f t="shared" si="1"/>
        <v>4000000</v>
      </c>
      <c r="G12" s="84"/>
    </row>
    <row r="13">
      <c r="A13" s="94">
        <f t="shared" si="2"/>
        <v>7</v>
      </c>
      <c r="B13" s="84" t="s">
        <v>547</v>
      </c>
      <c r="C13" s="84" t="s">
        <v>548</v>
      </c>
      <c r="D13" s="84">
        <v>8.0</v>
      </c>
      <c r="E13" s="85">
        <v>80000.0</v>
      </c>
      <c r="F13" s="86">
        <f t="shared" si="1"/>
        <v>640000</v>
      </c>
      <c r="G13" s="84" t="s">
        <v>549</v>
      </c>
    </row>
    <row r="14">
      <c r="A14" s="94">
        <f t="shared" si="2"/>
        <v>8</v>
      </c>
      <c r="B14" s="83" t="s">
        <v>550</v>
      </c>
      <c r="C14" s="84" t="s">
        <v>551</v>
      </c>
      <c r="D14" s="95">
        <f>'Danh sách MASTER'!O119</f>
        <v>44</v>
      </c>
      <c r="E14" s="85">
        <v>240000.0</v>
      </c>
      <c r="F14" s="86">
        <f t="shared" si="1"/>
        <v>10560000</v>
      </c>
      <c r="G14" s="84" t="s">
        <v>552</v>
      </c>
      <c r="H14" s="90">
        <f>F14</f>
        <v>10560000</v>
      </c>
    </row>
    <row r="15">
      <c r="A15" s="77" t="s">
        <v>553</v>
      </c>
      <c r="B15" s="78" t="s">
        <v>554</v>
      </c>
      <c r="C15" s="79"/>
      <c r="D15" s="79"/>
      <c r="E15" s="80"/>
      <c r="F15" s="81">
        <f>sum(F16:F30)</f>
        <v>58200000</v>
      </c>
      <c r="G15" s="96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</row>
    <row r="16">
      <c r="A16" s="82">
        <v>1.0</v>
      </c>
      <c r="B16" s="83" t="s">
        <v>555</v>
      </c>
      <c r="C16" s="84" t="s">
        <v>551</v>
      </c>
      <c r="D16" s="91">
        <f>'Danh sách MASTER'!P119</f>
        <v>65</v>
      </c>
      <c r="E16" s="85">
        <v>380000.0</v>
      </c>
      <c r="F16" s="86">
        <f t="shared" ref="F16:F30" si="4">E16*D16</f>
        <v>24700000</v>
      </c>
      <c r="G16" s="84" t="s">
        <v>556</v>
      </c>
    </row>
    <row r="17">
      <c r="A17" s="94">
        <f t="shared" ref="A17:A30" si="5">A16+1</f>
        <v>2</v>
      </c>
      <c r="B17" s="83" t="s">
        <v>557</v>
      </c>
      <c r="C17" s="84" t="s">
        <v>535</v>
      </c>
      <c r="D17" s="84">
        <v>1.0</v>
      </c>
      <c r="E17" s="85">
        <v>2000000.0</v>
      </c>
      <c r="F17" s="86">
        <f t="shared" si="4"/>
        <v>2000000</v>
      </c>
      <c r="G17" s="92"/>
    </row>
    <row r="18">
      <c r="A18" s="94">
        <f t="shared" si="5"/>
        <v>3</v>
      </c>
      <c r="B18" s="83" t="s">
        <v>558</v>
      </c>
      <c r="C18" s="84" t="s">
        <v>559</v>
      </c>
      <c r="D18" s="84">
        <v>2.0</v>
      </c>
      <c r="E18" s="85">
        <v>1800000.0</v>
      </c>
      <c r="F18" s="86">
        <f t="shared" si="4"/>
        <v>3600000</v>
      </c>
      <c r="G18" s="92"/>
    </row>
    <row r="19">
      <c r="A19" s="94">
        <f t="shared" si="5"/>
        <v>4</v>
      </c>
      <c r="B19" s="83" t="s">
        <v>560</v>
      </c>
      <c r="C19" s="84" t="s">
        <v>551</v>
      </c>
      <c r="D19" s="95">
        <f>D16</f>
        <v>65</v>
      </c>
      <c r="E19" s="85">
        <v>50000.0</v>
      </c>
      <c r="F19" s="86">
        <f t="shared" si="4"/>
        <v>3250000</v>
      </c>
      <c r="G19" s="92"/>
    </row>
    <row r="20">
      <c r="A20" s="94">
        <f t="shared" si="5"/>
        <v>5</v>
      </c>
      <c r="B20" s="84" t="s">
        <v>561</v>
      </c>
      <c r="C20" s="84" t="s">
        <v>562</v>
      </c>
      <c r="D20" s="84">
        <v>0.0</v>
      </c>
      <c r="E20" s="85">
        <v>50000.0</v>
      </c>
      <c r="F20" s="86">
        <f t="shared" si="4"/>
        <v>0</v>
      </c>
      <c r="G20" s="84" t="s">
        <v>563</v>
      </c>
    </row>
    <row r="21">
      <c r="A21" s="94">
        <f t="shared" si="5"/>
        <v>6</v>
      </c>
      <c r="B21" s="83" t="s">
        <v>564</v>
      </c>
      <c r="C21" s="84" t="s">
        <v>551</v>
      </c>
      <c r="D21" s="84">
        <v>0.0</v>
      </c>
      <c r="E21" s="85">
        <v>10000.0</v>
      </c>
      <c r="F21" s="86">
        <f t="shared" si="4"/>
        <v>0</v>
      </c>
      <c r="G21" s="92"/>
    </row>
    <row r="22">
      <c r="A22" s="94">
        <f t="shared" si="5"/>
        <v>7</v>
      </c>
      <c r="B22" s="83" t="s">
        <v>565</v>
      </c>
      <c r="C22" s="84" t="s">
        <v>538</v>
      </c>
      <c r="D22" s="84">
        <v>1.0</v>
      </c>
      <c r="E22" s="85">
        <v>650000.0</v>
      </c>
      <c r="F22" s="86">
        <f t="shared" si="4"/>
        <v>650000</v>
      </c>
      <c r="G22" s="92"/>
    </row>
    <row r="23">
      <c r="A23" s="94">
        <f t="shared" si="5"/>
        <v>8</v>
      </c>
      <c r="B23" s="83" t="s">
        <v>566</v>
      </c>
      <c r="C23" s="84" t="s">
        <v>535</v>
      </c>
      <c r="D23" s="84">
        <v>1.0</v>
      </c>
      <c r="E23" s="85">
        <v>1.0E7</v>
      </c>
      <c r="F23" s="86">
        <f t="shared" si="4"/>
        <v>10000000</v>
      </c>
      <c r="G23" s="84"/>
    </row>
    <row r="24">
      <c r="A24" s="94">
        <f t="shared" si="5"/>
        <v>9</v>
      </c>
      <c r="B24" s="97" t="s">
        <v>567</v>
      </c>
      <c r="C24" s="97" t="s">
        <v>535</v>
      </c>
      <c r="D24" s="97">
        <v>1.0</v>
      </c>
      <c r="E24" s="89">
        <v>2300000.0</v>
      </c>
      <c r="F24" s="98">
        <f t="shared" si="4"/>
        <v>2300000</v>
      </c>
      <c r="G24" s="84" t="s">
        <v>568</v>
      </c>
      <c r="J24" s="84" t="s">
        <v>568</v>
      </c>
    </row>
    <row r="25">
      <c r="A25" s="94">
        <f t="shared" si="5"/>
        <v>10</v>
      </c>
      <c r="B25" s="97" t="s">
        <v>569</v>
      </c>
      <c r="C25" s="97" t="s">
        <v>535</v>
      </c>
      <c r="D25" s="97">
        <v>1.0</v>
      </c>
      <c r="E25" s="89">
        <v>1200000.0</v>
      </c>
      <c r="F25" s="98">
        <f t="shared" si="4"/>
        <v>1200000</v>
      </c>
      <c r="G25" s="84" t="s">
        <v>570</v>
      </c>
    </row>
    <row r="26">
      <c r="A26" s="94">
        <f t="shared" si="5"/>
        <v>11</v>
      </c>
      <c r="B26" s="97" t="s">
        <v>571</v>
      </c>
      <c r="C26" s="97" t="s">
        <v>535</v>
      </c>
      <c r="D26" s="97">
        <v>1.0</v>
      </c>
      <c r="E26" s="89">
        <v>1000000.0</v>
      </c>
      <c r="F26" s="98">
        <f t="shared" si="4"/>
        <v>1000000</v>
      </c>
      <c r="G26" s="92"/>
    </row>
    <row r="27">
      <c r="A27" s="94">
        <f t="shared" si="5"/>
        <v>12</v>
      </c>
      <c r="B27" s="97" t="s">
        <v>572</v>
      </c>
      <c r="C27" s="97" t="s">
        <v>535</v>
      </c>
      <c r="D27" s="97">
        <v>1.0</v>
      </c>
      <c r="E27" s="89">
        <v>1500000.0</v>
      </c>
      <c r="F27" s="98">
        <f t="shared" si="4"/>
        <v>1500000</v>
      </c>
      <c r="G27" s="84" t="s">
        <v>573</v>
      </c>
    </row>
    <row r="28">
      <c r="A28" s="99">
        <f t="shared" si="5"/>
        <v>13</v>
      </c>
      <c r="B28" s="100" t="s">
        <v>574</v>
      </c>
      <c r="C28" s="100" t="s">
        <v>575</v>
      </c>
      <c r="D28" s="100">
        <v>2.0</v>
      </c>
      <c r="E28" s="101">
        <v>500000.0</v>
      </c>
      <c r="F28" s="102">
        <f t="shared" si="4"/>
        <v>1000000</v>
      </c>
      <c r="G28" s="103"/>
      <c r="H28" s="104"/>
      <c r="I28" s="104"/>
      <c r="J28" s="104"/>
      <c r="K28" s="104"/>
      <c r="L28" s="104">
        <f>L10*3*3.5</f>
        <v>577500</v>
      </c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>
      <c r="A29" s="94">
        <f t="shared" si="5"/>
        <v>14</v>
      </c>
      <c r="B29" s="84" t="s">
        <v>576</v>
      </c>
      <c r="C29" s="84" t="s">
        <v>535</v>
      </c>
      <c r="D29" s="84">
        <v>1.0</v>
      </c>
      <c r="E29" s="85">
        <v>2000000.0</v>
      </c>
      <c r="F29" s="86">
        <f t="shared" si="4"/>
        <v>2000000</v>
      </c>
      <c r="G29" s="92"/>
    </row>
    <row r="30">
      <c r="A30" s="94">
        <f t="shared" si="5"/>
        <v>15</v>
      </c>
      <c r="B30" s="83" t="s">
        <v>577</v>
      </c>
      <c r="C30" s="84" t="s">
        <v>535</v>
      </c>
      <c r="D30" s="84">
        <v>1.0</v>
      </c>
      <c r="E30" s="85">
        <v>5000000.0</v>
      </c>
      <c r="F30" s="86">
        <f t="shared" si="4"/>
        <v>5000000</v>
      </c>
      <c r="G30" s="92"/>
    </row>
    <row r="31">
      <c r="A31" s="77" t="s">
        <v>578</v>
      </c>
      <c r="B31" s="78" t="s">
        <v>579</v>
      </c>
      <c r="C31" s="79"/>
      <c r="D31" s="96"/>
      <c r="E31" s="80"/>
      <c r="F31" s="81">
        <f>sum(F32:F35)</f>
        <v>39060000</v>
      </c>
      <c r="G31" s="96"/>
      <c r="H31" s="72"/>
      <c r="I31" s="72"/>
      <c r="J31" s="72"/>
      <c r="K31" s="72"/>
      <c r="L31" s="3"/>
      <c r="M31" s="3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</row>
    <row r="32">
      <c r="A32" s="82">
        <v>1.0</v>
      </c>
      <c r="B32" s="83" t="s">
        <v>580</v>
      </c>
      <c r="C32" s="84" t="s">
        <v>581</v>
      </c>
      <c r="D32" s="84"/>
      <c r="E32" s="85">
        <v>159000.0</v>
      </c>
      <c r="F32" s="86">
        <f t="shared" ref="F32:F35" si="6">E32*D32</f>
        <v>0</v>
      </c>
      <c r="G32" s="84" t="s">
        <v>582</v>
      </c>
    </row>
    <row r="33">
      <c r="A33" s="94">
        <f t="shared" ref="A33:A35" si="7">A32+1</f>
        <v>2</v>
      </c>
      <c r="B33" s="83" t="s">
        <v>583</v>
      </c>
      <c r="C33" s="84" t="s">
        <v>535</v>
      </c>
      <c r="D33" s="84">
        <v>1.0</v>
      </c>
      <c r="E33" s="85">
        <v>6000000.0</v>
      </c>
      <c r="F33" s="86">
        <f t="shared" si="6"/>
        <v>6000000</v>
      </c>
      <c r="G33" s="92"/>
    </row>
    <row r="34">
      <c r="A34" s="94">
        <f t="shared" si="7"/>
        <v>3</v>
      </c>
      <c r="B34" s="83" t="s">
        <v>584</v>
      </c>
      <c r="C34" s="84" t="s">
        <v>575</v>
      </c>
      <c r="D34" s="91">
        <f>'Danh sách MASTER'!Q119</f>
        <v>57</v>
      </c>
      <c r="E34" s="85">
        <v>330000.0</v>
      </c>
      <c r="F34" s="86">
        <f t="shared" si="6"/>
        <v>18810000</v>
      </c>
      <c r="G34" s="92"/>
    </row>
    <row r="35">
      <c r="A35" s="94">
        <f t="shared" si="7"/>
        <v>4</v>
      </c>
      <c r="B35" s="83" t="s">
        <v>585</v>
      </c>
      <c r="C35" s="84" t="s">
        <v>551</v>
      </c>
      <c r="D35" s="91">
        <f>D34</f>
        <v>57</v>
      </c>
      <c r="E35" s="85">
        <v>250000.0</v>
      </c>
      <c r="F35" s="86">
        <f t="shared" si="6"/>
        <v>14250000</v>
      </c>
      <c r="G35" s="92"/>
    </row>
    <row r="36">
      <c r="A36" s="105" t="s">
        <v>586</v>
      </c>
      <c r="B36" s="74" t="s">
        <v>587</v>
      </c>
      <c r="C36" s="73"/>
      <c r="D36" s="73"/>
      <c r="E36" s="75"/>
      <c r="F36" s="76">
        <f>sum(F37:F39)</f>
        <v>53250000</v>
      </c>
      <c r="G36" s="73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</row>
    <row r="37">
      <c r="A37" s="82">
        <v>1.0</v>
      </c>
      <c r="B37" s="83" t="s">
        <v>588</v>
      </c>
      <c r="C37" s="84" t="s">
        <v>544</v>
      </c>
      <c r="D37" s="85">
        <v>100.0</v>
      </c>
      <c r="E37" s="85">
        <v>500000.0</v>
      </c>
      <c r="F37" s="86">
        <f t="shared" ref="F37:F39" si="8">E37*D37</f>
        <v>50000000</v>
      </c>
      <c r="G37" s="84" t="s">
        <v>589</v>
      </c>
    </row>
    <row r="38">
      <c r="A38" s="82">
        <v>2.0</v>
      </c>
      <c r="B38" s="83" t="s">
        <v>590</v>
      </c>
      <c r="C38" s="84" t="s">
        <v>538</v>
      </c>
      <c r="D38" s="84">
        <v>50.0</v>
      </c>
      <c r="E38" s="85">
        <v>60000.0</v>
      </c>
      <c r="F38" s="85">
        <f t="shared" si="8"/>
        <v>3000000</v>
      </c>
      <c r="G38" s="84" t="s">
        <v>591</v>
      </c>
    </row>
    <row r="39">
      <c r="A39" s="82">
        <v>3.0</v>
      </c>
      <c r="B39" s="83" t="s">
        <v>592</v>
      </c>
      <c r="C39" s="84" t="s">
        <v>535</v>
      </c>
      <c r="D39" s="84">
        <v>1.0</v>
      </c>
      <c r="E39" s="85">
        <v>250000.0</v>
      </c>
      <c r="F39" s="85">
        <f t="shared" si="8"/>
        <v>250000</v>
      </c>
      <c r="G39" s="92"/>
    </row>
    <row r="40">
      <c r="A40" s="94"/>
      <c r="B40" s="71" t="s">
        <v>593</v>
      </c>
      <c r="C40" s="106"/>
      <c r="D40" s="106"/>
      <c r="E40" s="107"/>
      <c r="F40" s="107">
        <f>F36+F5</f>
        <v>199910000</v>
      </c>
      <c r="G40" s="92"/>
    </row>
    <row r="41">
      <c r="B41" s="69"/>
      <c r="E41" s="88"/>
      <c r="F41" s="88"/>
    </row>
    <row r="42">
      <c r="B42" s="69"/>
      <c r="E42" s="88"/>
      <c r="F42" s="88"/>
    </row>
    <row r="43">
      <c r="B43" s="69"/>
      <c r="E43" s="88"/>
      <c r="F43" s="88"/>
    </row>
    <row r="44">
      <c r="B44" s="69"/>
    </row>
    <row r="45">
      <c r="B45" s="108" t="s">
        <v>594</v>
      </c>
    </row>
    <row r="46">
      <c r="B46" s="69"/>
    </row>
    <row r="47">
      <c r="A47" s="70" t="s">
        <v>1</v>
      </c>
      <c r="B47" s="71" t="s">
        <v>595</v>
      </c>
      <c r="C47" s="70" t="s">
        <v>525</v>
      </c>
      <c r="D47" s="70" t="s">
        <v>527</v>
      </c>
      <c r="E47" s="70" t="s">
        <v>526</v>
      </c>
      <c r="F47" s="70" t="s">
        <v>528</v>
      </c>
      <c r="G47" s="70" t="s">
        <v>113</v>
      </c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</row>
    <row r="48">
      <c r="A48" s="70" t="s">
        <v>532</v>
      </c>
      <c r="B48" s="71" t="s">
        <v>596</v>
      </c>
      <c r="C48" s="106"/>
      <c r="D48" s="106"/>
      <c r="E48" s="106"/>
      <c r="F48" s="107">
        <f>sum(F49:F51)</f>
        <v>62640000</v>
      </c>
      <c r="G48" s="70" t="s">
        <v>597</v>
      </c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</row>
    <row r="49">
      <c r="A49" s="84">
        <v>1.0</v>
      </c>
      <c r="B49" s="83" t="s">
        <v>598</v>
      </c>
      <c r="C49" s="84" t="s">
        <v>599</v>
      </c>
      <c r="D49" s="85">
        <v>880000.0</v>
      </c>
      <c r="E49" s="85">
        <v>63.0</v>
      </c>
      <c r="F49" s="86">
        <f t="shared" ref="F49:F50" si="9">E49*D49</f>
        <v>55440000</v>
      </c>
      <c r="G49" s="84" t="s">
        <v>600</v>
      </c>
    </row>
    <row r="50">
      <c r="A50" s="84">
        <v>2.0</v>
      </c>
      <c r="B50" s="83" t="s">
        <v>601</v>
      </c>
      <c r="C50" s="84" t="s">
        <v>599</v>
      </c>
      <c r="D50" s="85">
        <v>200000.0</v>
      </c>
      <c r="E50" s="86">
        <f>99-E49</f>
        <v>36</v>
      </c>
      <c r="F50" s="86">
        <f t="shared" si="9"/>
        <v>7200000</v>
      </c>
      <c r="G50" s="92"/>
    </row>
    <row r="51">
      <c r="A51" s="84">
        <v>3.0</v>
      </c>
      <c r="B51" s="83" t="s">
        <v>602</v>
      </c>
      <c r="C51" s="84" t="s">
        <v>535</v>
      </c>
      <c r="D51" s="86"/>
      <c r="E51" s="86"/>
      <c r="F51" s="86"/>
      <c r="G51" s="84" t="s">
        <v>603</v>
      </c>
    </row>
    <row r="52">
      <c r="A52" s="109" t="s">
        <v>553</v>
      </c>
      <c r="B52" s="110" t="s">
        <v>604</v>
      </c>
      <c r="C52" s="111"/>
      <c r="D52" s="112"/>
      <c r="E52" s="112"/>
      <c r="F52" s="112">
        <f>sum(F53:F55)</f>
        <v>50400000</v>
      </c>
      <c r="G52" s="113"/>
    </row>
    <row r="53">
      <c r="A53" s="84">
        <v>1.0</v>
      </c>
      <c r="B53" s="83" t="s">
        <v>605</v>
      </c>
      <c r="C53" s="84" t="s">
        <v>599</v>
      </c>
      <c r="D53" s="85">
        <v>800000.0</v>
      </c>
      <c r="E53" s="85">
        <f>E49</f>
        <v>63</v>
      </c>
      <c r="F53" s="86">
        <f t="shared" ref="F53:F54" si="10">E53*D53</f>
        <v>50400000</v>
      </c>
      <c r="G53" s="92"/>
    </row>
    <row r="54">
      <c r="A54" s="84">
        <v>2.0</v>
      </c>
      <c r="B54" s="83" t="s">
        <v>601</v>
      </c>
      <c r="C54" s="84" t="s">
        <v>599</v>
      </c>
      <c r="D54" s="85"/>
      <c r="E54" s="86">
        <f>99-E53</f>
        <v>36</v>
      </c>
      <c r="F54" s="86">
        <f t="shared" si="10"/>
        <v>0</v>
      </c>
      <c r="G54" s="92"/>
    </row>
    <row r="55">
      <c r="A55" s="84">
        <v>3.0</v>
      </c>
      <c r="B55" s="83" t="s">
        <v>602</v>
      </c>
      <c r="C55" s="84" t="s">
        <v>535</v>
      </c>
      <c r="D55" s="85">
        <v>0.0</v>
      </c>
      <c r="E55" s="85">
        <v>1.0</v>
      </c>
      <c r="F55" s="85">
        <v>0.0</v>
      </c>
      <c r="G55" s="84" t="s">
        <v>606</v>
      </c>
    </row>
    <row r="56">
      <c r="A56" s="109" t="s">
        <v>578</v>
      </c>
      <c r="B56" s="110" t="s">
        <v>607</v>
      </c>
      <c r="C56" s="113"/>
      <c r="D56" s="113"/>
      <c r="E56" s="113"/>
      <c r="F56" s="112">
        <f>sum(F57:F60)</f>
        <v>27290063</v>
      </c>
      <c r="G56" s="113"/>
    </row>
    <row r="57">
      <c r="A57" s="84">
        <v>1.0</v>
      </c>
      <c r="B57" s="83" t="s">
        <v>584</v>
      </c>
      <c r="C57" s="84" t="s">
        <v>599</v>
      </c>
      <c r="D57" s="85">
        <v>330000.0</v>
      </c>
      <c r="E57" s="85">
        <f>E53</f>
        <v>63</v>
      </c>
      <c r="F57" s="86">
        <f t="shared" ref="F57:F58" si="11">E57*D57</f>
        <v>20790000</v>
      </c>
      <c r="G57" s="92"/>
    </row>
    <row r="58">
      <c r="A58" s="84">
        <v>2.0</v>
      </c>
      <c r="B58" s="83" t="s">
        <v>608</v>
      </c>
      <c r="C58" s="84" t="s">
        <v>535</v>
      </c>
      <c r="D58" s="85">
        <v>6500000.0</v>
      </c>
      <c r="E58" s="85">
        <v>1.0</v>
      </c>
      <c r="F58" s="86">
        <f t="shared" si="11"/>
        <v>6500000</v>
      </c>
      <c r="G58" s="92"/>
    </row>
    <row r="59">
      <c r="A59" s="84">
        <v>3.0</v>
      </c>
      <c r="B59" s="83" t="s">
        <v>602</v>
      </c>
      <c r="C59" s="84" t="s">
        <v>535</v>
      </c>
      <c r="D59" s="85">
        <v>0.0</v>
      </c>
      <c r="E59" s="85">
        <v>1.0</v>
      </c>
      <c r="F59" s="85">
        <v>0.0</v>
      </c>
      <c r="G59" s="84" t="s">
        <v>335</v>
      </c>
    </row>
    <row r="60">
      <c r="A60" s="84">
        <v>4.0</v>
      </c>
      <c r="B60" s="83" t="s">
        <v>609</v>
      </c>
      <c r="C60" s="84" t="s">
        <v>599</v>
      </c>
      <c r="D60" s="85">
        <v>250000.0</v>
      </c>
      <c r="E60" s="85">
        <f>E57</f>
        <v>63</v>
      </c>
      <c r="F60" s="85">
        <f>E57</f>
        <v>63</v>
      </c>
      <c r="G60" s="84" t="s">
        <v>610</v>
      </c>
      <c r="H60" s="1"/>
      <c r="I60" s="1"/>
      <c r="J60" s="1" t="s">
        <v>611</v>
      </c>
    </row>
    <row r="61">
      <c r="B61" s="69"/>
    </row>
    <row r="62">
      <c r="B62" s="69"/>
    </row>
    <row r="63">
      <c r="B63" s="108" t="s">
        <v>612</v>
      </c>
    </row>
    <row r="64">
      <c r="A64" s="70" t="s">
        <v>1</v>
      </c>
      <c r="B64" s="71" t="s">
        <v>595</v>
      </c>
      <c r="C64" s="70" t="s">
        <v>525</v>
      </c>
      <c r="D64" s="70" t="s">
        <v>527</v>
      </c>
      <c r="E64" s="70" t="s">
        <v>526</v>
      </c>
      <c r="F64" s="70" t="s">
        <v>528</v>
      </c>
      <c r="G64" s="70" t="s">
        <v>113</v>
      </c>
      <c r="H64" s="3"/>
      <c r="I64" s="3"/>
      <c r="J64" s="3" t="s">
        <v>613</v>
      </c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</row>
    <row r="65">
      <c r="B65" s="108" t="s">
        <v>614</v>
      </c>
      <c r="C65" s="1" t="s">
        <v>551</v>
      </c>
      <c r="D65" s="1">
        <v>250000.0</v>
      </c>
      <c r="E65" s="114">
        <f>'Danh sách MASTER'!O119</f>
        <v>44</v>
      </c>
      <c r="F65" s="93">
        <f>E65*D65</f>
        <v>11000000</v>
      </c>
      <c r="G65" s="1" t="s">
        <v>615</v>
      </c>
    </row>
    <row r="66">
      <c r="B66" s="108" t="s">
        <v>616</v>
      </c>
    </row>
    <row r="67">
      <c r="B67" s="108" t="s">
        <v>617</v>
      </c>
      <c r="C67" s="1" t="s">
        <v>551</v>
      </c>
    </row>
    <row r="68">
      <c r="B68" s="69"/>
      <c r="D68" s="1">
        <v>300000.0</v>
      </c>
    </row>
    <row r="69">
      <c r="B69" s="69"/>
    </row>
    <row r="70">
      <c r="B70" s="69"/>
    </row>
    <row r="71">
      <c r="B71" s="69"/>
    </row>
    <row r="72">
      <c r="B72" s="69"/>
    </row>
    <row r="73">
      <c r="B73" s="69"/>
    </row>
    <row r="74">
      <c r="B74" s="69"/>
    </row>
    <row r="75">
      <c r="B75" s="69"/>
    </row>
    <row r="76">
      <c r="B76" s="69"/>
    </row>
    <row r="77">
      <c r="B77" s="69"/>
    </row>
    <row r="78">
      <c r="B78" s="69"/>
    </row>
    <row r="79">
      <c r="B79" s="69"/>
    </row>
    <row r="80">
      <c r="B80" s="69"/>
    </row>
    <row r="81">
      <c r="B81" s="69"/>
    </row>
    <row r="82">
      <c r="B82" s="69"/>
    </row>
    <row r="83">
      <c r="B83" s="69"/>
    </row>
    <row r="84">
      <c r="B84" s="69"/>
    </row>
    <row r="85">
      <c r="B85" s="69"/>
    </row>
    <row r="86">
      <c r="B86" s="69"/>
    </row>
    <row r="87">
      <c r="B87" s="69"/>
    </row>
    <row r="88">
      <c r="B88" s="69"/>
    </row>
    <row r="89">
      <c r="B89" s="69"/>
    </row>
    <row r="90">
      <c r="B90" s="69"/>
    </row>
    <row r="91">
      <c r="B91" s="69"/>
    </row>
    <row r="92">
      <c r="B92" s="69"/>
    </row>
    <row r="93">
      <c r="B93" s="69"/>
    </row>
    <row r="94">
      <c r="B94" s="69"/>
    </row>
    <row r="95">
      <c r="B95" s="69"/>
    </row>
    <row r="96">
      <c r="B96" s="69"/>
    </row>
    <row r="97">
      <c r="B97" s="69"/>
    </row>
    <row r="98">
      <c r="B98" s="69"/>
    </row>
    <row r="99">
      <c r="B99" s="69"/>
    </row>
    <row r="100">
      <c r="B100" s="69"/>
    </row>
    <row r="101">
      <c r="B101" s="69"/>
    </row>
    <row r="102">
      <c r="B102" s="69"/>
    </row>
    <row r="103">
      <c r="B103" s="69"/>
    </row>
    <row r="104">
      <c r="B104" s="69"/>
    </row>
    <row r="105">
      <c r="B105" s="69"/>
    </row>
    <row r="106">
      <c r="B106" s="69"/>
    </row>
    <row r="107">
      <c r="B107" s="69"/>
    </row>
    <row r="108">
      <c r="B108" s="69"/>
    </row>
    <row r="109">
      <c r="B109" s="69"/>
    </row>
    <row r="110">
      <c r="B110" s="69"/>
    </row>
    <row r="111">
      <c r="B111" s="69"/>
    </row>
    <row r="112">
      <c r="B112" s="69"/>
    </row>
    <row r="113">
      <c r="B113" s="69"/>
    </row>
    <row r="114">
      <c r="B114" s="69"/>
    </row>
    <row r="115">
      <c r="B115" s="69"/>
    </row>
    <row r="116">
      <c r="B116" s="69"/>
    </row>
    <row r="117">
      <c r="B117" s="69"/>
    </row>
    <row r="118">
      <c r="B118" s="69"/>
    </row>
    <row r="119">
      <c r="B119" s="69"/>
    </row>
    <row r="120">
      <c r="B120" s="69"/>
    </row>
    <row r="121">
      <c r="B121" s="69"/>
    </row>
    <row r="122">
      <c r="B122" s="69"/>
    </row>
    <row r="123">
      <c r="B123" s="69"/>
    </row>
    <row r="124">
      <c r="B124" s="69"/>
    </row>
    <row r="125">
      <c r="B125" s="69"/>
    </row>
    <row r="126">
      <c r="B126" s="69"/>
    </row>
    <row r="127">
      <c r="B127" s="69"/>
    </row>
    <row r="128">
      <c r="B128" s="69"/>
    </row>
    <row r="129">
      <c r="B129" s="69"/>
    </row>
    <row r="130">
      <c r="B130" s="69"/>
    </row>
    <row r="131">
      <c r="B131" s="69"/>
    </row>
    <row r="132">
      <c r="B132" s="69"/>
    </row>
    <row r="133">
      <c r="B133" s="69"/>
    </row>
    <row r="134">
      <c r="B134" s="69"/>
    </row>
    <row r="135">
      <c r="B135" s="69"/>
    </row>
    <row r="136">
      <c r="B136" s="69"/>
    </row>
    <row r="137">
      <c r="B137" s="69"/>
    </row>
    <row r="138">
      <c r="B138" s="69"/>
    </row>
    <row r="139">
      <c r="B139" s="69"/>
    </row>
    <row r="140">
      <c r="B140" s="69"/>
    </row>
    <row r="141">
      <c r="B141" s="69"/>
    </row>
    <row r="142">
      <c r="B142" s="69"/>
    </row>
    <row r="143">
      <c r="B143" s="69"/>
    </row>
    <row r="144">
      <c r="B144" s="69"/>
    </row>
    <row r="145">
      <c r="B145" s="69"/>
    </row>
    <row r="146">
      <c r="B146" s="69"/>
    </row>
    <row r="147">
      <c r="B147" s="69"/>
    </row>
    <row r="148">
      <c r="B148" s="69"/>
    </row>
    <row r="149">
      <c r="B149" s="69"/>
    </row>
    <row r="150">
      <c r="B150" s="69"/>
    </row>
    <row r="151">
      <c r="B151" s="69"/>
    </row>
    <row r="152">
      <c r="B152" s="69"/>
    </row>
    <row r="153">
      <c r="B153" s="69"/>
    </row>
    <row r="154">
      <c r="B154" s="69"/>
    </row>
    <row r="155">
      <c r="B155" s="69"/>
    </row>
    <row r="156">
      <c r="B156" s="69"/>
    </row>
    <row r="157">
      <c r="B157" s="69"/>
    </row>
    <row r="158">
      <c r="B158" s="69"/>
    </row>
    <row r="159">
      <c r="B159" s="69"/>
    </row>
    <row r="160">
      <c r="B160" s="69"/>
    </row>
    <row r="161">
      <c r="B161" s="69"/>
    </row>
    <row r="162">
      <c r="B162" s="69"/>
    </row>
    <row r="163">
      <c r="B163" s="69"/>
    </row>
    <row r="164">
      <c r="B164" s="69"/>
    </row>
    <row r="165">
      <c r="B165" s="69"/>
    </row>
    <row r="166">
      <c r="B166" s="69"/>
    </row>
    <row r="167">
      <c r="B167" s="69"/>
    </row>
    <row r="168">
      <c r="B168" s="69"/>
    </row>
    <row r="169">
      <c r="B169" s="69"/>
    </row>
    <row r="170">
      <c r="B170" s="69"/>
    </row>
    <row r="171">
      <c r="B171" s="69"/>
    </row>
    <row r="172">
      <c r="B172" s="69"/>
    </row>
    <row r="173">
      <c r="B173" s="69"/>
    </row>
    <row r="174">
      <c r="B174" s="69"/>
    </row>
    <row r="175">
      <c r="B175" s="69"/>
    </row>
    <row r="176">
      <c r="B176" s="69"/>
    </row>
    <row r="177">
      <c r="B177" s="69"/>
    </row>
    <row r="178">
      <c r="B178" s="69"/>
    </row>
    <row r="179">
      <c r="B179" s="69"/>
    </row>
    <row r="180">
      <c r="B180" s="69"/>
    </row>
    <row r="181">
      <c r="B181" s="69"/>
    </row>
    <row r="182">
      <c r="B182" s="69"/>
    </row>
    <row r="183">
      <c r="B183" s="69"/>
    </row>
    <row r="184">
      <c r="B184" s="69"/>
    </row>
    <row r="185">
      <c r="B185" s="69"/>
    </row>
    <row r="186">
      <c r="B186" s="69"/>
    </row>
    <row r="187">
      <c r="B187" s="69"/>
    </row>
    <row r="188">
      <c r="B188" s="69"/>
    </row>
    <row r="189">
      <c r="B189" s="69"/>
    </row>
    <row r="190">
      <c r="B190" s="69"/>
    </row>
    <row r="191">
      <c r="B191" s="69"/>
    </row>
    <row r="192">
      <c r="B192" s="69"/>
    </row>
    <row r="193">
      <c r="B193" s="69"/>
    </row>
    <row r="194">
      <c r="B194" s="69"/>
    </row>
    <row r="195">
      <c r="B195" s="69"/>
    </row>
    <row r="196">
      <c r="B196" s="69"/>
    </row>
    <row r="197">
      <c r="B197" s="69"/>
    </row>
    <row r="198">
      <c r="B198" s="69"/>
    </row>
    <row r="199">
      <c r="B199" s="69"/>
    </row>
    <row r="200">
      <c r="B200" s="69"/>
    </row>
    <row r="201">
      <c r="B201" s="69"/>
    </row>
    <row r="202">
      <c r="B202" s="69"/>
    </row>
    <row r="203">
      <c r="B203" s="69"/>
    </row>
    <row r="204">
      <c r="B204" s="69"/>
    </row>
    <row r="205">
      <c r="B205" s="69"/>
    </row>
    <row r="206">
      <c r="B206" s="69"/>
    </row>
    <row r="207">
      <c r="B207" s="69"/>
    </row>
    <row r="208">
      <c r="B208" s="69"/>
    </row>
    <row r="209">
      <c r="B209" s="69"/>
    </row>
    <row r="210">
      <c r="B210" s="69"/>
    </row>
    <row r="211">
      <c r="B211" s="69"/>
    </row>
    <row r="212">
      <c r="B212" s="69"/>
    </row>
    <row r="213">
      <c r="B213" s="69"/>
    </row>
    <row r="214">
      <c r="B214" s="69"/>
    </row>
    <row r="215">
      <c r="B215" s="69"/>
    </row>
    <row r="216">
      <c r="B216" s="69"/>
    </row>
    <row r="217">
      <c r="B217" s="69"/>
    </row>
    <row r="218">
      <c r="B218" s="69"/>
    </row>
    <row r="219">
      <c r="B219" s="69"/>
    </row>
    <row r="220">
      <c r="B220" s="69"/>
    </row>
    <row r="221">
      <c r="B221" s="69"/>
    </row>
    <row r="222">
      <c r="B222" s="69"/>
    </row>
    <row r="223">
      <c r="B223" s="69"/>
    </row>
    <row r="224">
      <c r="B224" s="69"/>
    </row>
    <row r="225">
      <c r="B225" s="69"/>
    </row>
    <row r="226">
      <c r="B226" s="69"/>
    </row>
    <row r="227">
      <c r="B227" s="69"/>
    </row>
    <row r="228">
      <c r="B228" s="69"/>
    </row>
    <row r="229">
      <c r="B229" s="69"/>
    </row>
    <row r="230">
      <c r="B230" s="69"/>
    </row>
    <row r="231">
      <c r="B231" s="69"/>
    </row>
    <row r="232">
      <c r="B232" s="69"/>
    </row>
    <row r="233">
      <c r="B233" s="69"/>
    </row>
    <row r="234">
      <c r="B234" s="69"/>
    </row>
    <row r="235">
      <c r="B235" s="69"/>
    </row>
    <row r="236">
      <c r="B236" s="69"/>
    </row>
    <row r="237">
      <c r="B237" s="69"/>
    </row>
    <row r="238">
      <c r="B238" s="69"/>
    </row>
    <row r="239">
      <c r="B239" s="69"/>
    </row>
    <row r="240">
      <c r="B240" s="69"/>
    </row>
    <row r="241">
      <c r="B241" s="69"/>
    </row>
    <row r="242">
      <c r="B242" s="69"/>
    </row>
    <row r="243">
      <c r="B243" s="69"/>
    </row>
    <row r="244">
      <c r="B244" s="69"/>
    </row>
    <row r="245">
      <c r="B245" s="69"/>
    </row>
    <row r="246">
      <c r="B246" s="69"/>
    </row>
    <row r="247">
      <c r="B247" s="69"/>
    </row>
    <row r="248">
      <c r="B248" s="69"/>
    </row>
    <row r="249">
      <c r="B249" s="69"/>
    </row>
    <row r="250">
      <c r="B250" s="69"/>
    </row>
    <row r="251">
      <c r="B251" s="69"/>
    </row>
    <row r="252">
      <c r="B252" s="69"/>
    </row>
    <row r="253">
      <c r="B253" s="69"/>
    </row>
    <row r="254">
      <c r="B254" s="69"/>
    </row>
    <row r="255">
      <c r="B255" s="69"/>
    </row>
    <row r="256">
      <c r="B256" s="69"/>
    </row>
    <row r="257">
      <c r="B257" s="69"/>
    </row>
    <row r="258">
      <c r="B258" s="69"/>
    </row>
    <row r="259">
      <c r="B259" s="69"/>
    </row>
    <row r="260">
      <c r="B260" s="69"/>
    </row>
    <row r="261">
      <c r="B261" s="69"/>
    </row>
    <row r="262">
      <c r="B262" s="69"/>
    </row>
    <row r="263">
      <c r="B263" s="69"/>
    </row>
    <row r="264">
      <c r="B264" s="69"/>
    </row>
    <row r="265">
      <c r="B265" s="69"/>
    </row>
    <row r="266">
      <c r="B266" s="69"/>
    </row>
    <row r="267">
      <c r="B267" s="69"/>
    </row>
    <row r="268">
      <c r="B268" s="69"/>
    </row>
    <row r="269">
      <c r="B269" s="69"/>
    </row>
    <row r="270">
      <c r="B270" s="69"/>
    </row>
    <row r="271">
      <c r="B271" s="69"/>
    </row>
    <row r="272">
      <c r="B272" s="69"/>
    </row>
    <row r="273">
      <c r="B273" s="69"/>
    </row>
    <row r="274">
      <c r="B274" s="69"/>
    </row>
    <row r="275">
      <c r="B275" s="69"/>
    </row>
    <row r="276">
      <c r="B276" s="69"/>
    </row>
    <row r="277">
      <c r="B277" s="69"/>
    </row>
    <row r="278">
      <c r="B278" s="69"/>
    </row>
    <row r="279">
      <c r="B279" s="69"/>
    </row>
    <row r="280">
      <c r="B280" s="69"/>
    </row>
    <row r="281">
      <c r="B281" s="69"/>
    </row>
    <row r="282">
      <c r="B282" s="69"/>
    </row>
    <row r="283">
      <c r="B283" s="69"/>
    </row>
    <row r="284">
      <c r="B284" s="69"/>
    </row>
    <row r="285">
      <c r="B285" s="69"/>
    </row>
    <row r="286">
      <c r="B286" s="69"/>
    </row>
    <row r="287">
      <c r="B287" s="69"/>
    </row>
    <row r="288">
      <c r="B288" s="69"/>
    </row>
    <row r="289">
      <c r="B289" s="69"/>
    </row>
    <row r="290">
      <c r="B290" s="69"/>
    </row>
    <row r="291">
      <c r="B291" s="69"/>
    </row>
    <row r="292">
      <c r="B292" s="69"/>
    </row>
    <row r="293">
      <c r="B293" s="69"/>
    </row>
    <row r="294">
      <c r="B294" s="69"/>
    </row>
    <row r="295">
      <c r="B295" s="69"/>
    </row>
    <row r="296">
      <c r="B296" s="69"/>
    </row>
    <row r="297">
      <c r="B297" s="69"/>
    </row>
    <row r="298">
      <c r="B298" s="69"/>
    </row>
    <row r="299">
      <c r="B299" s="69"/>
    </row>
    <row r="300">
      <c r="B300" s="69"/>
    </row>
    <row r="301">
      <c r="B301" s="69"/>
    </row>
    <row r="302">
      <c r="B302" s="69"/>
    </row>
    <row r="303">
      <c r="B303" s="69"/>
    </row>
    <row r="304">
      <c r="B304" s="69"/>
    </row>
    <row r="305">
      <c r="B305" s="69"/>
    </row>
    <row r="306">
      <c r="B306" s="69"/>
    </row>
    <row r="307">
      <c r="B307" s="69"/>
    </row>
    <row r="308">
      <c r="B308" s="69"/>
    </row>
    <row r="309">
      <c r="B309" s="69"/>
    </row>
    <row r="310">
      <c r="B310" s="69"/>
    </row>
    <row r="311">
      <c r="B311" s="69"/>
    </row>
    <row r="312">
      <c r="B312" s="69"/>
    </row>
    <row r="313">
      <c r="B313" s="69"/>
    </row>
    <row r="314">
      <c r="B314" s="69"/>
    </row>
    <row r="315">
      <c r="B315" s="69"/>
    </row>
    <row r="316">
      <c r="B316" s="69"/>
    </row>
    <row r="317">
      <c r="B317" s="69"/>
    </row>
    <row r="318">
      <c r="B318" s="69"/>
    </row>
    <row r="319">
      <c r="B319" s="69"/>
    </row>
    <row r="320">
      <c r="B320" s="69"/>
    </row>
    <row r="321">
      <c r="B321" s="69"/>
    </row>
    <row r="322">
      <c r="B322" s="69"/>
    </row>
    <row r="323">
      <c r="B323" s="69"/>
    </row>
    <row r="324">
      <c r="B324" s="69"/>
    </row>
    <row r="325">
      <c r="B325" s="69"/>
    </row>
    <row r="326">
      <c r="B326" s="69"/>
    </row>
    <row r="327">
      <c r="B327" s="69"/>
    </row>
    <row r="328">
      <c r="B328" s="69"/>
    </row>
    <row r="329">
      <c r="B329" s="69"/>
    </row>
    <row r="330">
      <c r="B330" s="69"/>
    </row>
    <row r="331">
      <c r="B331" s="69"/>
    </row>
    <row r="332">
      <c r="B332" s="69"/>
    </row>
    <row r="333">
      <c r="B333" s="69"/>
    </row>
    <row r="334">
      <c r="B334" s="69"/>
    </row>
    <row r="335">
      <c r="B335" s="69"/>
    </row>
    <row r="336">
      <c r="B336" s="69"/>
    </row>
    <row r="337">
      <c r="B337" s="69"/>
    </row>
    <row r="338">
      <c r="B338" s="69"/>
    </row>
    <row r="339">
      <c r="B339" s="69"/>
    </row>
    <row r="340">
      <c r="B340" s="69"/>
    </row>
    <row r="341">
      <c r="B341" s="69"/>
    </row>
    <row r="342">
      <c r="B342" s="69"/>
    </row>
    <row r="343">
      <c r="B343" s="69"/>
    </row>
    <row r="344">
      <c r="B344" s="69"/>
    </row>
    <row r="345">
      <c r="B345" s="69"/>
    </row>
    <row r="346">
      <c r="B346" s="69"/>
    </row>
    <row r="347">
      <c r="B347" s="69"/>
    </row>
    <row r="348">
      <c r="B348" s="69"/>
    </row>
    <row r="349">
      <c r="B349" s="69"/>
    </row>
    <row r="350">
      <c r="B350" s="69"/>
    </row>
    <row r="351">
      <c r="B351" s="69"/>
    </row>
    <row r="352">
      <c r="B352" s="69"/>
    </row>
    <row r="353">
      <c r="B353" s="69"/>
    </row>
    <row r="354">
      <c r="B354" s="69"/>
    </row>
    <row r="355">
      <c r="B355" s="69"/>
    </row>
    <row r="356">
      <c r="B356" s="69"/>
    </row>
    <row r="357">
      <c r="B357" s="69"/>
    </row>
    <row r="358">
      <c r="B358" s="69"/>
    </row>
    <row r="359">
      <c r="B359" s="69"/>
    </row>
    <row r="360">
      <c r="B360" s="69"/>
    </row>
    <row r="361">
      <c r="B361" s="69"/>
    </row>
    <row r="362">
      <c r="B362" s="69"/>
    </row>
    <row r="363">
      <c r="B363" s="69"/>
    </row>
    <row r="364">
      <c r="B364" s="69"/>
    </row>
    <row r="365">
      <c r="B365" s="69"/>
    </row>
    <row r="366">
      <c r="B366" s="69"/>
    </row>
    <row r="367">
      <c r="B367" s="69"/>
    </row>
    <row r="368">
      <c r="B368" s="69"/>
    </row>
    <row r="369">
      <c r="B369" s="69"/>
    </row>
    <row r="370">
      <c r="B370" s="69"/>
    </row>
    <row r="371">
      <c r="B371" s="69"/>
    </row>
    <row r="372">
      <c r="B372" s="69"/>
    </row>
    <row r="373">
      <c r="B373" s="69"/>
    </row>
    <row r="374">
      <c r="B374" s="69"/>
    </row>
    <row r="375">
      <c r="B375" s="69"/>
    </row>
    <row r="376">
      <c r="B376" s="69"/>
    </row>
    <row r="377">
      <c r="B377" s="69"/>
    </row>
    <row r="378">
      <c r="B378" s="69"/>
    </row>
    <row r="379">
      <c r="B379" s="69"/>
    </row>
    <row r="380">
      <c r="B380" s="69"/>
    </row>
    <row r="381">
      <c r="B381" s="69"/>
    </row>
    <row r="382">
      <c r="B382" s="69"/>
    </row>
    <row r="383">
      <c r="B383" s="69"/>
    </row>
    <row r="384">
      <c r="B384" s="69"/>
    </row>
    <row r="385">
      <c r="B385" s="69"/>
    </row>
    <row r="386">
      <c r="B386" s="69"/>
    </row>
    <row r="387">
      <c r="B387" s="69"/>
    </row>
    <row r="388">
      <c r="B388" s="69"/>
    </row>
    <row r="389">
      <c r="B389" s="69"/>
    </row>
    <row r="390">
      <c r="B390" s="69"/>
    </row>
    <row r="391">
      <c r="B391" s="69"/>
    </row>
    <row r="392">
      <c r="B392" s="69"/>
    </row>
    <row r="393">
      <c r="B393" s="69"/>
    </row>
    <row r="394">
      <c r="B394" s="69"/>
    </row>
    <row r="395">
      <c r="B395" s="69"/>
    </row>
    <row r="396">
      <c r="B396" s="69"/>
    </row>
    <row r="397">
      <c r="B397" s="69"/>
    </row>
    <row r="398">
      <c r="B398" s="69"/>
    </row>
    <row r="399">
      <c r="B399" s="69"/>
    </row>
    <row r="400">
      <c r="B400" s="69"/>
    </row>
    <row r="401">
      <c r="B401" s="69"/>
    </row>
    <row r="402">
      <c r="B402" s="69"/>
    </row>
    <row r="403">
      <c r="B403" s="69"/>
    </row>
    <row r="404">
      <c r="B404" s="69"/>
    </row>
    <row r="405">
      <c r="B405" s="69"/>
    </row>
    <row r="406">
      <c r="B406" s="69"/>
    </row>
    <row r="407">
      <c r="B407" s="69"/>
    </row>
    <row r="408">
      <c r="B408" s="69"/>
    </row>
    <row r="409">
      <c r="B409" s="69"/>
    </row>
    <row r="410">
      <c r="B410" s="69"/>
    </row>
    <row r="411">
      <c r="B411" s="69"/>
    </row>
    <row r="412">
      <c r="B412" s="69"/>
    </row>
    <row r="413">
      <c r="B413" s="69"/>
    </row>
    <row r="414">
      <c r="B414" s="69"/>
    </row>
    <row r="415">
      <c r="B415" s="69"/>
    </row>
    <row r="416">
      <c r="B416" s="69"/>
    </row>
    <row r="417">
      <c r="B417" s="69"/>
    </row>
    <row r="418">
      <c r="B418" s="69"/>
    </row>
    <row r="419">
      <c r="B419" s="69"/>
    </row>
    <row r="420">
      <c r="B420" s="69"/>
    </row>
    <row r="421">
      <c r="B421" s="69"/>
    </row>
    <row r="422">
      <c r="B422" s="69"/>
    </row>
    <row r="423">
      <c r="B423" s="69"/>
    </row>
    <row r="424">
      <c r="B424" s="69"/>
    </row>
    <row r="425">
      <c r="B425" s="69"/>
    </row>
    <row r="426">
      <c r="B426" s="69"/>
    </row>
    <row r="427">
      <c r="B427" s="69"/>
    </row>
    <row r="428">
      <c r="B428" s="69"/>
    </row>
    <row r="429">
      <c r="B429" s="69"/>
    </row>
    <row r="430">
      <c r="B430" s="69"/>
    </row>
    <row r="431">
      <c r="B431" s="69"/>
    </row>
    <row r="432">
      <c r="B432" s="69"/>
    </row>
    <row r="433">
      <c r="B433" s="69"/>
    </row>
    <row r="434">
      <c r="B434" s="69"/>
    </row>
    <row r="435">
      <c r="B435" s="69"/>
    </row>
    <row r="436">
      <c r="B436" s="69"/>
    </row>
    <row r="437">
      <c r="B437" s="69"/>
    </row>
    <row r="438">
      <c r="B438" s="69"/>
    </row>
    <row r="439">
      <c r="B439" s="69"/>
    </row>
    <row r="440">
      <c r="B440" s="69"/>
    </row>
    <row r="441">
      <c r="B441" s="69"/>
    </row>
    <row r="442">
      <c r="B442" s="69"/>
    </row>
    <row r="443">
      <c r="B443" s="69"/>
    </row>
    <row r="444">
      <c r="B444" s="69"/>
    </row>
    <row r="445">
      <c r="B445" s="69"/>
    </row>
    <row r="446">
      <c r="B446" s="69"/>
    </row>
    <row r="447">
      <c r="B447" s="69"/>
    </row>
    <row r="448">
      <c r="B448" s="69"/>
    </row>
    <row r="449">
      <c r="B449" s="69"/>
    </row>
    <row r="450">
      <c r="B450" s="69"/>
    </row>
    <row r="451">
      <c r="B451" s="69"/>
    </row>
    <row r="452">
      <c r="B452" s="69"/>
    </row>
    <row r="453">
      <c r="B453" s="69"/>
    </row>
    <row r="454">
      <c r="B454" s="69"/>
    </row>
    <row r="455">
      <c r="B455" s="69"/>
    </row>
    <row r="456">
      <c r="B456" s="69"/>
    </row>
    <row r="457">
      <c r="B457" s="69"/>
    </row>
    <row r="458">
      <c r="B458" s="69"/>
    </row>
    <row r="459">
      <c r="B459" s="69"/>
    </row>
    <row r="460">
      <c r="B460" s="69"/>
    </row>
    <row r="461">
      <c r="B461" s="69"/>
    </row>
    <row r="462">
      <c r="B462" s="69"/>
    </row>
    <row r="463">
      <c r="B463" s="69"/>
    </row>
    <row r="464">
      <c r="B464" s="69"/>
    </row>
    <row r="465">
      <c r="B465" s="69"/>
    </row>
    <row r="466">
      <c r="B466" s="69"/>
    </row>
    <row r="467">
      <c r="B467" s="69"/>
    </row>
    <row r="468">
      <c r="B468" s="69"/>
    </row>
    <row r="469">
      <c r="B469" s="69"/>
    </row>
    <row r="470">
      <c r="B470" s="69"/>
    </row>
    <row r="471">
      <c r="B471" s="69"/>
    </row>
    <row r="472">
      <c r="B472" s="69"/>
    </row>
    <row r="473">
      <c r="B473" s="69"/>
    </row>
    <row r="474">
      <c r="B474" s="69"/>
    </row>
    <row r="475">
      <c r="B475" s="69"/>
    </row>
    <row r="476">
      <c r="B476" s="69"/>
    </row>
    <row r="477">
      <c r="B477" s="69"/>
    </row>
    <row r="478">
      <c r="B478" s="69"/>
    </row>
    <row r="479">
      <c r="B479" s="69"/>
    </row>
    <row r="480">
      <c r="B480" s="69"/>
    </row>
    <row r="481">
      <c r="B481" s="69"/>
    </row>
    <row r="482">
      <c r="B482" s="69"/>
    </row>
    <row r="483">
      <c r="B483" s="69"/>
    </row>
    <row r="484">
      <c r="B484" s="69"/>
    </row>
    <row r="485">
      <c r="B485" s="69"/>
    </row>
    <row r="486">
      <c r="B486" s="69"/>
    </row>
    <row r="487">
      <c r="B487" s="69"/>
    </row>
    <row r="488">
      <c r="B488" s="69"/>
    </row>
    <row r="489">
      <c r="B489" s="69"/>
    </row>
    <row r="490">
      <c r="B490" s="69"/>
    </row>
    <row r="491">
      <c r="B491" s="69"/>
    </row>
    <row r="492">
      <c r="B492" s="69"/>
    </row>
    <row r="493">
      <c r="B493" s="69"/>
    </row>
    <row r="494">
      <c r="B494" s="69"/>
    </row>
    <row r="495">
      <c r="B495" s="69"/>
    </row>
    <row r="496">
      <c r="B496" s="69"/>
    </row>
    <row r="497">
      <c r="B497" s="69"/>
    </row>
    <row r="498">
      <c r="B498" s="69"/>
    </row>
    <row r="499">
      <c r="B499" s="69"/>
    </row>
    <row r="500">
      <c r="B500" s="69"/>
    </row>
    <row r="501">
      <c r="B501" s="69"/>
    </row>
    <row r="502">
      <c r="B502" s="69"/>
    </row>
    <row r="503">
      <c r="B503" s="69"/>
    </row>
    <row r="504">
      <c r="B504" s="69"/>
    </row>
    <row r="505">
      <c r="B505" s="69"/>
    </row>
    <row r="506">
      <c r="B506" s="69"/>
    </row>
    <row r="507">
      <c r="B507" s="69"/>
    </row>
    <row r="508">
      <c r="B508" s="69"/>
    </row>
    <row r="509">
      <c r="B509" s="69"/>
    </row>
    <row r="510">
      <c r="B510" s="69"/>
    </row>
    <row r="511">
      <c r="B511" s="69"/>
    </row>
    <row r="512">
      <c r="B512" s="69"/>
    </row>
    <row r="513">
      <c r="B513" s="69"/>
    </row>
    <row r="514">
      <c r="B514" s="69"/>
    </row>
    <row r="515">
      <c r="B515" s="69"/>
    </row>
    <row r="516">
      <c r="B516" s="69"/>
    </row>
    <row r="517">
      <c r="B517" s="69"/>
    </row>
    <row r="518">
      <c r="B518" s="69"/>
    </row>
    <row r="519">
      <c r="B519" s="69"/>
    </row>
    <row r="520">
      <c r="B520" s="69"/>
    </row>
    <row r="521">
      <c r="B521" s="69"/>
    </row>
    <row r="522">
      <c r="B522" s="69"/>
    </row>
    <row r="523">
      <c r="B523" s="69"/>
    </row>
    <row r="524">
      <c r="B524" s="69"/>
    </row>
    <row r="525">
      <c r="B525" s="69"/>
    </row>
    <row r="526">
      <c r="B526" s="69"/>
    </row>
    <row r="527">
      <c r="B527" s="69"/>
    </row>
    <row r="528">
      <c r="B528" s="69"/>
    </row>
    <row r="529">
      <c r="B529" s="69"/>
    </row>
    <row r="530">
      <c r="B530" s="69"/>
    </row>
    <row r="531">
      <c r="B531" s="69"/>
    </row>
    <row r="532">
      <c r="B532" s="69"/>
    </row>
    <row r="533">
      <c r="B533" s="69"/>
    </row>
    <row r="534">
      <c r="B534" s="69"/>
    </row>
    <row r="535">
      <c r="B535" s="69"/>
    </row>
    <row r="536">
      <c r="B536" s="69"/>
    </row>
    <row r="537">
      <c r="B537" s="69"/>
    </row>
    <row r="538">
      <c r="B538" s="69"/>
    </row>
    <row r="539">
      <c r="B539" s="69"/>
    </row>
    <row r="540">
      <c r="B540" s="69"/>
    </row>
    <row r="541">
      <c r="B541" s="69"/>
    </row>
    <row r="542">
      <c r="B542" s="69"/>
    </row>
    <row r="543">
      <c r="B543" s="69"/>
    </row>
    <row r="544">
      <c r="B544" s="69"/>
    </row>
    <row r="545">
      <c r="B545" s="69"/>
    </row>
    <row r="546">
      <c r="B546" s="69"/>
    </row>
    <row r="547">
      <c r="B547" s="69"/>
    </row>
    <row r="548">
      <c r="B548" s="69"/>
    </row>
    <row r="549">
      <c r="B549" s="69"/>
    </row>
    <row r="550">
      <c r="B550" s="69"/>
    </row>
    <row r="551">
      <c r="B551" s="69"/>
    </row>
    <row r="552">
      <c r="B552" s="69"/>
    </row>
    <row r="553">
      <c r="B553" s="69"/>
    </row>
    <row r="554">
      <c r="B554" s="69"/>
    </row>
    <row r="555">
      <c r="B555" s="69"/>
    </row>
    <row r="556">
      <c r="B556" s="69"/>
    </row>
    <row r="557">
      <c r="B557" s="69"/>
    </row>
    <row r="558">
      <c r="B558" s="69"/>
    </row>
    <row r="559">
      <c r="B559" s="69"/>
    </row>
    <row r="560">
      <c r="B560" s="69"/>
    </row>
    <row r="561">
      <c r="B561" s="69"/>
    </row>
    <row r="562">
      <c r="B562" s="69"/>
    </row>
    <row r="563">
      <c r="B563" s="69"/>
    </row>
    <row r="564">
      <c r="B564" s="69"/>
    </row>
    <row r="565">
      <c r="B565" s="69"/>
    </row>
    <row r="566">
      <c r="B566" s="69"/>
    </row>
    <row r="567">
      <c r="B567" s="69"/>
    </row>
    <row r="568">
      <c r="B568" s="69"/>
    </row>
    <row r="569">
      <c r="B569" s="69"/>
    </row>
    <row r="570">
      <c r="B570" s="69"/>
    </row>
    <row r="571">
      <c r="B571" s="69"/>
    </row>
    <row r="572">
      <c r="B572" s="69"/>
    </row>
    <row r="573">
      <c r="B573" s="69"/>
    </row>
    <row r="574">
      <c r="B574" s="69"/>
    </row>
    <row r="575">
      <c r="B575" s="69"/>
    </row>
    <row r="576">
      <c r="B576" s="69"/>
    </row>
    <row r="577">
      <c r="B577" s="69"/>
    </row>
    <row r="578">
      <c r="B578" s="69"/>
    </row>
    <row r="579">
      <c r="B579" s="69"/>
    </row>
    <row r="580">
      <c r="B580" s="69"/>
    </row>
    <row r="581">
      <c r="B581" s="69"/>
    </row>
    <row r="582">
      <c r="B582" s="69"/>
    </row>
    <row r="583">
      <c r="B583" s="69"/>
    </row>
    <row r="584">
      <c r="B584" s="69"/>
    </row>
    <row r="585">
      <c r="B585" s="69"/>
    </row>
    <row r="586">
      <c r="B586" s="69"/>
    </row>
    <row r="587">
      <c r="B587" s="69"/>
    </row>
    <row r="588">
      <c r="B588" s="69"/>
    </row>
    <row r="589">
      <c r="B589" s="69"/>
    </row>
    <row r="590">
      <c r="B590" s="69"/>
    </row>
    <row r="591">
      <c r="B591" s="69"/>
    </row>
    <row r="592">
      <c r="B592" s="69"/>
    </row>
    <row r="593">
      <c r="B593" s="69"/>
    </row>
    <row r="594">
      <c r="B594" s="69"/>
    </row>
    <row r="595">
      <c r="B595" s="69"/>
    </row>
    <row r="596">
      <c r="B596" s="69"/>
    </row>
    <row r="597">
      <c r="B597" s="69"/>
    </row>
    <row r="598">
      <c r="B598" s="69"/>
    </row>
    <row r="599">
      <c r="B599" s="69"/>
    </row>
    <row r="600">
      <c r="B600" s="69"/>
    </row>
    <row r="601">
      <c r="B601" s="69"/>
    </row>
    <row r="602">
      <c r="B602" s="69"/>
    </row>
    <row r="603">
      <c r="B603" s="69"/>
    </row>
    <row r="604">
      <c r="B604" s="69"/>
    </row>
    <row r="605">
      <c r="B605" s="69"/>
    </row>
    <row r="606">
      <c r="B606" s="69"/>
    </row>
    <row r="607">
      <c r="B607" s="69"/>
    </row>
    <row r="608">
      <c r="B608" s="69"/>
    </row>
    <row r="609">
      <c r="B609" s="69"/>
    </row>
    <row r="610">
      <c r="B610" s="69"/>
    </row>
    <row r="611">
      <c r="B611" s="69"/>
    </row>
    <row r="612">
      <c r="B612" s="69"/>
    </row>
    <row r="613">
      <c r="B613" s="69"/>
    </row>
    <row r="614">
      <c r="B614" s="69"/>
    </row>
    <row r="615">
      <c r="B615" s="69"/>
    </row>
    <row r="616">
      <c r="B616" s="69"/>
    </row>
    <row r="617">
      <c r="B617" s="69"/>
    </row>
    <row r="618">
      <c r="B618" s="69"/>
    </row>
    <row r="619">
      <c r="B619" s="69"/>
    </row>
    <row r="620">
      <c r="B620" s="69"/>
    </row>
    <row r="621">
      <c r="B621" s="69"/>
    </row>
    <row r="622">
      <c r="B622" s="69"/>
    </row>
    <row r="623">
      <c r="B623" s="69"/>
    </row>
    <row r="624">
      <c r="B624" s="69"/>
    </row>
    <row r="625">
      <c r="B625" s="69"/>
    </row>
    <row r="626">
      <c r="B626" s="69"/>
    </row>
    <row r="627">
      <c r="B627" s="69"/>
    </row>
    <row r="628">
      <c r="B628" s="69"/>
    </row>
    <row r="629">
      <c r="B629" s="69"/>
    </row>
    <row r="630">
      <c r="B630" s="69"/>
    </row>
    <row r="631">
      <c r="B631" s="69"/>
    </row>
    <row r="632">
      <c r="B632" s="69"/>
    </row>
    <row r="633">
      <c r="B633" s="69"/>
    </row>
    <row r="634">
      <c r="B634" s="69"/>
    </row>
    <row r="635">
      <c r="B635" s="69"/>
    </row>
    <row r="636">
      <c r="B636" s="69"/>
    </row>
    <row r="637">
      <c r="B637" s="69"/>
    </row>
    <row r="638">
      <c r="B638" s="69"/>
    </row>
    <row r="639">
      <c r="B639" s="69"/>
    </row>
    <row r="640">
      <c r="B640" s="69"/>
    </row>
    <row r="641">
      <c r="B641" s="69"/>
    </row>
    <row r="642">
      <c r="B642" s="69"/>
    </row>
    <row r="643">
      <c r="B643" s="69"/>
    </row>
    <row r="644">
      <c r="B644" s="69"/>
    </row>
    <row r="645">
      <c r="B645" s="69"/>
    </row>
    <row r="646">
      <c r="B646" s="69"/>
    </row>
    <row r="647">
      <c r="B647" s="69"/>
    </row>
    <row r="648">
      <c r="B648" s="69"/>
    </row>
    <row r="649">
      <c r="B649" s="69"/>
    </row>
    <row r="650">
      <c r="B650" s="69"/>
    </row>
    <row r="651">
      <c r="B651" s="69"/>
    </row>
    <row r="652">
      <c r="B652" s="69"/>
    </row>
    <row r="653">
      <c r="B653" s="69"/>
    </row>
    <row r="654">
      <c r="B654" s="69"/>
    </row>
    <row r="655">
      <c r="B655" s="69"/>
    </row>
    <row r="656">
      <c r="B656" s="69"/>
    </row>
    <row r="657">
      <c r="B657" s="69"/>
    </row>
    <row r="658">
      <c r="B658" s="69"/>
    </row>
    <row r="659">
      <c r="B659" s="69"/>
    </row>
    <row r="660">
      <c r="B660" s="69"/>
    </row>
    <row r="661">
      <c r="B661" s="69"/>
    </row>
    <row r="662">
      <c r="B662" s="69"/>
    </row>
    <row r="663">
      <c r="B663" s="69"/>
    </row>
    <row r="664">
      <c r="B664" s="69"/>
    </row>
    <row r="665">
      <c r="B665" s="69"/>
    </row>
    <row r="666">
      <c r="B666" s="69"/>
    </row>
    <row r="667">
      <c r="B667" s="69"/>
    </row>
    <row r="668">
      <c r="B668" s="69"/>
    </row>
    <row r="669">
      <c r="B669" s="69"/>
    </row>
    <row r="670">
      <c r="B670" s="69"/>
    </row>
    <row r="671">
      <c r="B671" s="69"/>
    </row>
    <row r="672">
      <c r="B672" s="69"/>
    </row>
    <row r="673">
      <c r="B673" s="69"/>
    </row>
    <row r="674">
      <c r="B674" s="69"/>
    </row>
    <row r="675">
      <c r="B675" s="69"/>
    </row>
    <row r="676">
      <c r="B676" s="69"/>
    </row>
    <row r="677">
      <c r="B677" s="69"/>
    </row>
    <row r="678">
      <c r="B678" s="69"/>
    </row>
    <row r="679">
      <c r="B679" s="69"/>
    </row>
    <row r="680">
      <c r="B680" s="69"/>
    </row>
    <row r="681">
      <c r="B681" s="69"/>
    </row>
    <row r="682">
      <c r="B682" s="69"/>
    </row>
    <row r="683">
      <c r="B683" s="69"/>
    </row>
    <row r="684">
      <c r="B684" s="69"/>
    </row>
    <row r="685">
      <c r="B685" s="69"/>
    </row>
    <row r="686">
      <c r="B686" s="69"/>
    </row>
    <row r="687">
      <c r="B687" s="69"/>
    </row>
    <row r="688">
      <c r="B688" s="69"/>
    </row>
    <row r="689">
      <c r="B689" s="69"/>
    </row>
    <row r="690">
      <c r="B690" s="69"/>
    </row>
    <row r="691">
      <c r="B691" s="69"/>
    </row>
    <row r="692">
      <c r="B692" s="69"/>
    </row>
    <row r="693">
      <c r="B693" s="69"/>
    </row>
    <row r="694">
      <c r="B694" s="69"/>
    </row>
    <row r="695">
      <c r="B695" s="69"/>
    </row>
    <row r="696">
      <c r="B696" s="69"/>
    </row>
    <row r="697">
      <c r="B697" s="69"/>
    </row>
    <row r="698">
      <c r="B698" s="69"/>
    </row>
    <row r="699">
      <c r="B699" s="69"/>
    </row>
    <row r="700">
      <c r="B700" s="69"/>
    </row>
    <row r="701">
      <c r="B701" s="69"/>
    </row>
    <row r="702">
      <c r="B702" s="69"/>
    </row>
    <row r="703">
      <c r="B703" s="69"/>
    </row>
    <row r="704">
      <c r="B704" s="69"/>
    </row>
    <row r="705">
      <c r="B705" s="69"/>
    </row>
    <row r="706">
      <c r="B706" s="69"/>
    </row>
    <row r="707">
      <c r="B707" s="69"/>
    </row>
    <row r="708">
      <c r="B708" s="69"/>
    </row>
    <row r="709">
      <c r="B709" s="69"/>
    </row>
    <row r="710">
      <c r="B710" s="69"/>
    </row>
    <row r="711">
      <c r="B711" s="69"/>
    </row>
    <row r="712">
      <c r="B712" s="69"/>
    </row>
    <row r="713">
      <c r="B713" s="69"/>
    </row>
    <row r="714">
      <c r="B714" s="69"/>
    </row>
    <row r="715">
      <c r="B715" s="69"/>
    </row>
    <row r="716">
      <c r="B716" s="69"/>
    </row>
    <row r="717">
      <c r="B717" s="69"/>
    </row>
    <row r="718">
      <c r="B718" s="69"/>
    </row>
    <row r="719">
      <c r="B719" s="69"/>
    </row>
    <row r="720">
      <c r="B720" s="69"/>
    </row>
    <row r="721">
      <c r="B721" s="69"/>
    </row>
    <row r="722">
      <c r="B722" s="69"/>
    </row>
    <row r="723">
      <c r="B723" s="69"/>
    </row>
    <row r="724">
      <c r="B724" s="69"/>
    </row>
    <row r="725">
      <c r="B725" s="69"/>
    </row>
    <row r="726">
      <c r="B726" s="69"/>
    </row>
    <row r="727">
      <c r="B727" s="69"/>
    </row>
    <row r="728">
      <c r="B728" s="69"/>
    </row>
    <row r="729">
      <c r="B729" s="69"/>
    </row>
    <row r="730">
      <c r="B730" s="69"/>
    </row>
    <row r="731">
      <c r="B731" s="69"/>
    </row>
    <row r="732">
      <c r="B732" s="69"/>
    </row>
    <row r="733">
      <c r="B733" s="69"/>
    </row>
    <row r="734">
      <c r="B734" s="69"/>
    </row>
    <row r="735">
      <c r="B735" s="69"/>
    </row>
    <row r="736">
      <c r="B736" s="69"/>
    </row>
    <row r="737">
      <c r="B737" s="69"/>
    </row>
    <row r="738">
      <c r="B738" s="69"/>
    </row>
    <row r="739">
      <c r="B739" s="69"/>
    </row>
    <row r="740">
      <c r="B740" s="69"/>
    </row>
    <row r="741">
      <c r="B741" s="69"/>
    </row>
    <row r="742">
      <c r="B742" s="69"/>
    </row>
    <row r="743">
      <c r="B743" s="69"/>
    </row>
    <row r="744">
      <c r="B744" s="69"/>
    </row>
    <row r="745">
      <c r="B745" s="69"/>
    </row>
    <row r="746">
      <c r="B746" s="69"/>
    </row>
    <row r="747">
      <c r="B747" s="69"/>
    </row>
    <row r="748">
      <c r="B748" s="69"/>
    </row>
    <row r="749">
      <c r="B749" s="69"/>
    </row>
    <row r="750">
      <c r="B750" s="69"/>
    </row>
    <row r="751">
      <c r="B751" s="69"/>
    </row>
    <row r="752">
      <c r="B752" s="69"/>
    </row>
    <row r="753">
      <c r="B753" s="69"/>
    </row>
    <row r="754">
      <c r="B754" s="69"/>
    </row>
    <row r="755">
      <c r="B755" s="69"/>
    </row>
    <row r="756">
      <c r="B756" s="69"/>
    </row>
    <row r="757">
      <c r="B757" s="69"/>
    </row>
    <row r="758">
      <c r="B758" s="69"/>
    </row>
    <row r="759">
      <c r="B759" s="69"/>
    </row>
    <row r="760">
      <c r="B760" s="69"/>
    </row>
    <row r="761">
      <c r="B761" s="69"/>
    </row>
    <row r="762">
      <c r="B762" s="69"/>
    </row>
    <row r="763">
      <c r="B763" s="69"/>
    </row>
    <row r="764">
      <c r="B764" s="69"/>
    </row>
    <row r="765">
      <c r="B765" s="69"/>
    </row>
    <row r="766">
      <c r="B766" s="69"/>
    </row>
    <row r="767">
      <c r="B767" s="69"/>
    </row>
    <row r="768">
      <c r="B768" s="69"/>
    </row>
    <row r="769">
      <c r="B769" s="69"/>
    </row>
    <row r="770">
      <c r="B770" s="69"/>
    </row>
    <row r="771">
      <c r="B771" s="69"/>
    </row>
    <row r="772">
      <c r="B772" s="69"/>
    </row>
    <row r="773">
      <c r="B773" s="69"/>
    </row>
    <row r="774">
      <c r="B774" s="69"/>
    </row>
    <row r="775">
      <c r="B775" s="69"/>
    </row>
    <row r="776">
      <c r="B776" s="69"/>
    </row>
    <row r="777">
      <c r="B777" s="69"/>
    </row>
    <row r="778">
      <c r="B778" s="69"/>
    </row>
    <row r="779">
      <c r="B779" s="69"/>
    </row>
    <row r="780">
      <c r="B780" s="69"/>
    </row>
    <row r="781">
      <c r="B781" s="69"/>
    </row>
    <row r="782">
      <c r="B782" s="69"/>
    </row>
    <row r="783">
      <c r="B783" s="69"/>
    </row>
    <row r="784">
      <c r="B784" s="69"/>
    </row>
    <row r="785">
      <c r="B785" s="69"/>
    </row>
    <row r="786">
      <c r="B786" s="69"/>
    </row>
    <row r="787">
      <c r="B787" s="69"/>
    </row>
    <row r="788">
      <c r="B788" s="69"/>
    </row>
    <row r="789">
      <c r="B789" s="69"/>
    </row>
    <row r="790">
      <c r="B790" s="69"/>
    </row>
    <row r="791">
      <c r="B791" s="69"/>
    </row>
    <row r="792">
      <c r="B792" s="69"/>
    </row>
    <row r="793">
      <c r="B793" s="69"/>
    </row>
    <row r="794">
      <c r="B794" s="69"/>
    </row>
    <row r="795">
      <c r="B795" s="69"/>
    </row>
    <row r="796">
      <c r="B796" s="69"/>
    </row>
    <row r="797">
      <c r="B797" s="69"/>
    </row>
    <row r="798">
      <c r="B798" s="69"/>
    </row>
    <row r="799">
      <c r="B799" s="69"/>
    </row>
    <row r="800">
      <c r="B800" s="69"/>
    </row>
    <row r="801">
      <c r="B801" s="69"/>
    </row>
    <row r="802">
      <c r="B802" s="69"/>
    </row>
    <row r="803">
      <c r="B803" s="69"/>
    </row>
    <row r="804">
      <c r="B804" s="69"/>
    </row>
    <row r="805">
      <c r="B805" s="69"/>
    </row>
    <row r="806">
      <c r="B806" s="69"/>
    </row>
    <row r="807">
      <c r="B807" s="69"/>
    </row>
    <row r="808">
      <c r="B808" s="69"/>
    </row>
    <row r="809">
      <c r="B809" s="69"/>
    </row>
    <row r="810">
      <c r="B810" s="69"/>
    </row>
    <row r="811">
      <c r="B811" s="69"/>
    </row>
    <row r="812">
      <c r="B812" s="69"/>
    </row>
    <row r="813">
      <c r="B813" s="69"/>
    </row>
    <row r="814">
      <c r="B814" s="69"/>
    </row>
    <row r="815">
      <c r="B815" s="69"/>
    </row>
    <row r="816">
      <c r="B816" s="69"/>
    </row>
    <row r="817">
      <c r="B817" s="69"/>
    </row>
    <row r="818">
      <c r="B818" s="69"/>
    </row>
    <row r="819">
      <c r="B819" s="69"/>
    </row>
    <row r="820">
      <c r="B820" s="69"/>
    </row>
    <row r="821">
      <c r="B821" s="69"/>
    </row>
    <row r="822">
      <c r="B822" s="69"/>
    </row>
    <row r="823">
      <c r="B823" s="69"/>
    </row>
    <row r="824">
      <c r="B824" s="69"/>
    </row>
    <row r="825">
      <c r="B825" s="69"/>
    </row>
    <row r="826">
      <c r="B826" s="69"/>
    </row>
    <row r="827">
      <c r="B827" s="69"/>
    </row>
    <row r="828">
      <c r="B828" s="69"/>
    </row>
    <row r="829">
      <c r="B829" s="69"/>
    </row>
    <row r="830">
      <c r="B830" s="69"/>
    </row>
    <row r="831">
      <c r="B831" s="69"/>
    </row>
    <row r="832">
      <c r="B832" s="69"/>
    </row>
    <row r="833">
      <c r="B833" s="69"/>
    </row>
    <row r="834">
      <c r="B834" s="69"/>
    </row>
    <row r="835">
      <c r="B835" s="69"/>
    </row>
    <row r="836">
      <c r="B836" s="69"/>
    </row>
    <row r="837">
      <c r="B837" s="69"/>
    </row>
    <row r="838">
      <c r="B838" s="69"/>
    </row>
    <row r="839">
      <c r="B839" s="69"/>
    </row>
    <row r="840">
      <c r="B840" s="69"/>
    </row>
    <row r="841">
      <c r="B841" s="69"/>
    </row>
    <row r="842">
      <c r="B842" s="69"/>
    </row>
    <row r="843">
      <c r="B843" s="69"/>
    </row>
    <row r="844">
      <c r="B844" s="69"/>
    </row>
    <row r="845">
      <c r="B845" s="69"/>
    </row>
    <row r="846">
      <c r="B846" s="69"/>
    </row>
    <row r="847">
      <c r="B847" s="69"/>
    </row>
    <row r="848">
      <c r="B848" s="69"/>
    </row>
    <row r="849">
      <c r="B849" s="69"/>
    </row>
    <row r="850">
      <c r="B850" s="69"/>
    </row>
    <row r="851">
      <c r="B851" s="69"/>
    </row>
    <row r="852">
      <c r="B852" s="69"/>
    </row>
    <row r="853">
      <c r="B853" s="69"/>
    </row>
    <row r="854">
      <c r="B854" s="69"/>
    </row>
    <row r="855">
      <c r="B855" s="69"/>
    </row>
    <row r="856">
      <c r="B856" s="69"/>
    </row>
    <row r="857">
      <c r="B857" s="69"/>
    </row>
    <row r="858">
      <c r="B858" s="69"/>
    </row>
    <row r="859">
      <c r="B859" s="69"/>
    </row>
    <row r="860">
      <c r="B860" s="69"/>
    </row>
    <row r="861">
      <c r="B861" s="69"/>
    </row>
    <row r="862">
      <c r="B862" s="69"/>
    </row>
    <row r="863">
      <c r="B863" s="69"/>
    </row>
    <row r="864">
      <c r="B864" s="69"/>
    </row>
    <row r="865">
      <c r="B865" s="69"/>
    </row>
    <row r="866">
      <c r="B866" s="69"/>
    </row>
    <row r="867">
      <c r="B867" s="69"/>
    </row>
    <row r="868">
      <c r="B868" s="69"/>
    </row>
    <row r="869">
      <c r="B869" s="69"/>
    </row>
    <row r="870">
      <c r="B870" s="69"/>
    </row>
    <row r="871">
      <c r="B871" s="69"/>
    </row>
    <row r="872">
      <c r="B872" s="69"/>
    </row>
    <row r="873">
      <c r="B873" s="69"/>
    </row>
    <row r="874">
      <c r="B874" s="69"/>
    </row>
    <row r="875">
      <c r="B875" s="69"/>
    </row>
    <row r="876">
      <c r="B876" s="69"/>
    </row>
    <row r="877">
      <c r="B877" s="69"/>
    </row>
    <row r="878">
      <c r="B878" s="69"/>
    </row>
    <row r="879">
      <c r="B879" s="69"/>
    </row>
    <row r="880">
      <c r="B880" s="69"/>
    </row>
    <row r="881">
      <c r="B881" s="69"/>
    </row>
    <row r="882">
      <c r="B882" s="69"/>
    </row>
    <row r="883">
      <c r="B883" s="69"/>
    </row>
    <row r="884">
      <c r="B884" s="69"/>
    </row>
    <row r="885">
      <c r="B885" s="69"/>
    </row>
    <row r="886">
      <c r="B886" s="69"/>
    </row>
    <row r="887">
      <c r="B887" s="69"/>
    </row>
    <row r="888">
      <c r="B888" s="69"/>
    </row>
    <row r="889">
      <c r="B889" s="69"/>
    </row>
    <row r="890">
      <c r="B890" s="69"/>
    </row>
    <row r="891">
      <c r="B891" s="69"/>
    </row>
    <row r="892">
      <c r="B892" s="69"/>
    </row>
    <row r="893">
      <c r="B893" s="69"/>
    </row>
    <row r="894">
      <c r="B894" s="69"/>
    </row>
    <row r="895">
      <c r="B895" s="69"/>
    </row>
    <row r="896">
      <c r="B896" s="69"/>
    </row>
    <row r="897">
      <c r="B897" s="69"/>
    </row>
    <row r="898">
      <c r="B898" s="69"/>
    </row>
    <row r="899">
      <c r="B899" s="69"/>
    </row>
    <row r="900">
      <c r="B900" s="69"/>
    </row>
    <row r="901">
      <c r="B901" s="69"/>
    </row>
    <row r="902">
      <c r="B902" s="69"/>
    </row>
    <row r="903">
      <c r="B903" s="69"/>
    </row>
    <row r="904">
      <c r="B904" s="69"/>
    </row>
    <row r="905">
      <c r="B905" s="69"/>
    </row>
    <row r="906">
      <c r="B906" s="69"/>
    </row>
    <row r="907">
      <c r="B907" s="69"/>
    </row>
    <row r="908">
      <c r="B908" s="69"/>
    </row>
    <row r="909">
      <c r="B909" s="69"/>
    </row>
    <row r="910">
      <c r="B910" s="69"/>
    </row>
    <row r="911">
      <c r="B911" s="69"/>
    </row>
    <row r="912">
      <c r="B912" s="69"/>
    </row>
    <row r="913">
      <c r="B913" s="69"/>
    </row>
    <row r="914">
      <c r="B914" s="69"/>
    </row>
    <row r="915">
      <c r="B915" s="69"/>
    </row>
    <row r="916">
      <c r="B916" s="69"/>
    </row>
    <row r="917">
      <c r="B917" s="69"/>
    </row>
    <row r="918">
      <c r="B918" s="69"/>
    </row>
    <row r="919">
      <c r="B919" s="69"/>
    </row>
    <row r="920">
      <c r="B920" s="69"/>
    </row>
    <row r="921">
      <c r="B921" s="69"/>
    </row>
    <row r="922">
      <c r="B922" s="69"/>
    </row>
    <row r="923">
      <c r="B923" s="69"/>
    </row>
    <row r="924">
      <c r="B924" s="69"/>
    </row>
    <row r="925">
      <c r="B925" s="69"/>
    </row>
    <row r="926">
      <c r="B926" s="69"/>
    </row>
    <row r="927">
      <c r="B927" s="69"/>
    </row>
    <row r="928">
      <c r="B928" s="69"/>
    </row>
    <row r="929">
      <c r="B929" s="69"/>
    </row>
    <row r="930">
      <c r="B930" s="69"/>
    </row>
    <row r="931">
      <c r="B931" s="69"/>
    </row>
    <row r="932">
      <c r="B932" s="69"/>
    </row>
    <row r="933">
      <c r="B933" s="69"/>
    </row>
    <row r="934">
      <c r="B934" s="69"/>
    </row>
    <row r="935">
      <c r="B935" s="69"/>
    </row>
    <row r="936">
      <c r="B936" s="69"/>
    </row>
    <row r="937">
      <c r="B937" s="69"/>
    </row>
    <row r="938">
      <c r="B938" s="69"/>
    </row>
    <row r="939">
      <c r="B939" s="69"/>
    </row>
    <row r="940">
      <c r="B940" s="69"/>
    </row>
    <row r="941">
      <c r="B941" s="69"/>
    </row>
    <row r="942">
      <c r="B942" s="69"/>
    </row>
    <row r="943">
      <c r="B943" s="69"/>
    </row>
    <row r="944">
      <c r="B944" s="69"/>
    </row>
    <row r="945">
      <c r="B945" s="69"/>
    </row>
    <row r="946">
      <c r="B946" s="69"/>
    </row>
    <row r="947">
      <c r="B947" s="69"/>
    </row>
    <row r="948">
      <c r="B948" s="69"/>
    </row>
    <row r="949">
      <c r="B949" s="69"/>
    </row>
    <row r="950">
      <c r="B950" s="69"/>
    </row>
    <row r="951">
      <c r="B951" s="69"/>
    </row>
    <row r="952">
      <c r="B952" s="69"/>
    </row>
    <row r="953">
      <c r="B953" s="69"/>
    </row>
    <row r="954">
      <c r="B954" s="69"/>
    </row>
    <row r="955">
      <c r="B955" s="69"/>
    </row>
    <row r="956">
      <c r="B956" s="69"/>
    </row>
    <row r="957">
      <c r="B957" s="69"/>
    </row>
    <row r="958">
      <c r="B958" s="69"/>
    </row>
    <row r="959">
      <c r="B959" s="69"/>
    </row>
    <row r="960">
      <c r="B960" s="69"/>
    </row>
    <row r="961">
      <c r="B961" s="69"/>
    </row>
    <row r="962">
      <c r="B962" s="69"/>
    </row>
    <row r="963">
      <c r="B963" s="69"/>
    </row>
    <row r="964">
      <c r="B964" s="69"/>
    </row>
    <row r="965">
      <c r="B965" s="69"/>
    </row>
    <row r="966">
      <c r="B966" s="69"/>
    </row>
    <row r="967">
      <c r="B967" s="69"/>
    </row>
    <row r="968">
      <c r="B968" s="69"/>
    </row>
    <row r="969">
      <c r="B969" s="69"/>
    </row>
    <row r="970">
      <c r="B970" s="69"/>
    </row>
    <row r="971">
      <c r="B971" s="69"/>
    </row>
    <row r="972">
      <c r="B972" s="69"/>
    </row>
    <row r="973">
      <c r="B973" s="69"/>
    </row>
    <row r="974">
      <c r="B974" s="69"/>
    </row>
    <row r="975">
      <c r="B975" s="69"/>
    </row>
    <row r="976">
      <c r="B976" s="69"/>
    </row>
    <row r="977">
      <c r="B977" s="69"/>
    </row>
    <row r="978">
      <c r="B978" s="69"/>
    </row>
    <row r="979">
      <c r="B979" s="69"/>
    </row>
    <row r="980">
      <c r="B980" s="69"/>
    </row>
    <row r="981">
      <c r="B981" s="69"/>
    </row>
    <row r="982">
      <c r="B982" s="69"/>
    </row>
    <row r="983">
      <c r="B983" s="69"/>
    </row>
    <row r="984">
      <c r="B984" s="69"/>
    </row>
    <row r="985">
      <c r="B985" s="69"/>
    </row>
    <row r="986">
      <c r="B986" s="69"/>
    </row>
    <row r="987">
      <c r="B987" s="69"/>
    </row>
    <row r="988">
      <c r="B988" s="69"/>
    </row>
    <row r="989">
      <c r="B989" s="69"/>
    </row>
    <row r="990">
      <c r="B990" s="69"/>
    </row>
    <row r="991">
      <c r="B991" s="69"/>
    </row>
    <row r="992">
      <c r="B992" s="69"/>
    </row>
    <row r="993">
      <c r="B993" s="69"/>
    </row>
    <row r="994">
      <c r="B994" s="69"/>
    </row>
    <row r="995">
      <c r="B995" s="69"/>
    </row>
    <row r="996">
      <c r="B996" s="69"/>
    </row>
    <row r="997">
      <c r="B997" s="69"/>
    </row>
    <row r="998">
      <c r="B998" s="69"/>
    </row>
    <row r="999">
      <c r="B999" s="69"/>
    </row>
    <row r="1000">
      <c r="B1000" s="69"/>
    </row>
    <row r="1001">
      <c r="B1001" s="69"/>
    </row>
    <row r="1002">
      <c r="B1002" s="69"/>
    </row>
    <row r="1003">
      <c r="B1003" s="69"/>
    </row>
    <row r="1004">
      <c r="B1004" s="69"/>
    </row>
    <row r="1005">
      <c r="B1005" s="69"/>
    </row>
    <row r="1006">
      <c r="B1006" s="69"/>
    </row>
    <row r="1007">
      <c r="B1007" s="69"/>
    </row>
    <row r="1008">
      <c r="B1008" s="69"/>
    </row>
    <row r="1009">
      <c r="B1009" s="69"/>
    </row>
    <row r="1010">
      <c r="B1010" s="69"/>
    </row>
    <row r="1011">
      <c r="B1011" s="69"/>
    </row>
    <row r="1012">
      <c r="B1012" s="69"/>
    </row>
    <row r="1013">
      <c r="B1013" s="69"/>
    </row>
    <row r="1014">
      <c r="B1014" s="69"/>
    </row>
    <row r="1015">
      <c r="B1015" s="69"/>
    </row>
    <row r="1016">
      <c r="B1016" s="69"/>
    </row>
    <row r="1017">
      <c r="B1017" s="69"/>
    </row>
    <row r="1018">
      <c r="B1018" s="6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2.63" defaultRowHeight="15.75"/>
  <cols>
    <col customWidth="1" min="1" max="1" width="7.63"/>
    <col customWidth="1" min="2" max="2" width="8.88"/>
    <col customWidth="1" min="3" max="3" width="22.63"/>
    <col customWidth="1" min="4" max="5" width="21.38"/>
    <col customWidth="1" min="6" max="6" width="24.25"/>
    <col customWidth="1" min="7" max="7" width="15.88"/>
    <col customWidth="1" min="8" max="8" width="11.38"/>
    <col customWidth="1" min="9" max="9" width="10.25"/>
    <col customWidth="1" min="10" max="10" width="17.13"/>
    <col customWidth="1" min="13" max="13" width="9.88"/>
    <col customWidth="1" min="15" max="15" width="9.5"/>
  </cols>
  <sheetData>
    <row r="1" ht="28.5" customHeight="1">
      <c r="A1" s="115" t="s">
        <v>618</v>
      </c>
      <c r="B1" s="116"/>
      <c r="C1" s="116"/>
      <c r="D1" s="116"/>
      <c r="E1" s="116"/>
      <c r="F1" s="117" t="s">
        <v>619</v>
      </c>
      <c r="G1" s="117" t="s">
        <v>620</v>
      </c>
      <c r="H1" s="117" t="s">
        <v>621</v>
      </c>
      <c r="I1" s="117" t="s">
        <v>622</v>
      </c>
      <c r="J1" s="117" t="s">
        <v>623</v>
      </c>
      <c r="K1" s="117" t="s">
        <v>624</v>
      </c>
      <c r="L1" s="117" t="s">
        <v>113</v>
      </c>
      <c r="M1" s="117" t="s">
        <v>527</v>
      </c>
      <c r="N1" s="117" t="s">
        <v>528</v>
      </c>
      <c r="O1" s="117" t="s">
        <v>625</v>
      </c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28.5" customHeight="1">
      <c r="A2" s="115" t="s">
        <v>626</v>
      </c>
      <c r="B2" s="116"/>
      <c r="C2" s="116"/>
      <c r="D2" s="116"/>
      <c r="E2" s="116"/>
      <c r="F2" s="118" t="s">
        <v>627</v>
      </c>
      <c r="G2" s="118">
        <f>IFERROR(__xludf.DUMMYFUNCTION("COUNTUNIQUEIFS($H$7:$H$36, $H$7:$H$36, H2 &amp; ""*"")"),5.0)</f>
        <v>5</v>
      </c>
      <c r="H2" s="119" t="s">
        <v>628</v>
      </c>
      <c r="I2" s="118">
        <v>2.0</v>
      </c>
      <c r="J2" s="118" t="s">
        <v>629</v>
      </c>
      <c r="K2" s="120" t="s">
        <v>630</v>
      </c>
      <c r="L2" s="120" t="s">
        <v>631</v>
      </c>
      <c r="M2" s="121">
        <v>600000.0</v>
      </c>
      <c r="N2" s="122">
        <f t="shared" ref="N2:N4" si="1">M2*G2</f>
        <v>3000000</v>
      </c>
      <c r="O2" s="123">
        <f t="shared" ref="O2:O4" si="2">G2*I2</f>
        <v>10</v>
      </c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28.5" customHeight="1">
      <c r="A3" s="115"/>
      <c r="B3" s="116"/>
      <c r="C3" s="116"/>
      <c r="D3" s="116"/>
      <c r="E3" s="116"/>
      <c r="F3" s="118" t="s">
        <v>632</v>
      </c>
      <c r="G3" s="118">
        <f>IFERROR(__xludf.DUMMYFUNCTION("COUNTUNIQUEIFS($H$7:$H$36, $H$7:$H$36, H3 &amp; ""*"")"),5.0)</f>
        <v>5</v>
      </c>
      <c r="H3" s="119" t="s">
        <v>633</v>
      </c>
      <c r="I3" s="118">
        <v>2.0</v>
      </c>
      <c r="J3" s="118" t="s">
        <v>634</v>
      </c>
      <c r="K3" s="120" t="s">
        <v>635</v>
      </c>
      <c r="L3" s="124"/>
      <c r="M3" s="121">
        <v>600000.0</v>
      </c>
      <c r="N3" s="122">
        <f t="shared" si="1"/>
        <v>3000000</v>
      </c>
      <c r="O3" s="123">
        <f t="shared" si="2"/>
        <v>10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28.5" customHeight="1">
      <c r="A4" s="115"/>
      <c r="B4" s="116"/>
      <c r="C4" s="116"/>
      <c r="D4" s="116"/>
      <c r="E4" s="116"/>
      <c r="F4" s="118" t="s">
        <v>636</v>
      </c>
      <c r="G4" s="118">
        <f>IFERROR(__xludf.DUMMYFUNCTION("COUNTUNIQUEIFS($H$7:$H$36, $H$7:$H$36, H4 &amp; ""*"")"),4.0)</f>
        <v>4</v>
      </c>
      <c r="H4" s="119" t="s">
        <v>637</v>
      </c>
      <c r="I4" s="118">
        <v>3.0</v>
      </c>
      <c r="J4" s="118" t="s">
        <v>638</v>
      </c>
      <c r="K4" s="120" t="s">
        <v>639</v>
      </c>
      <c r="L4" s="124" t="s">
        <v>640</v>
      </c>
      <c r="M4" s="121">
        <v>800000.0</v>
      </c>
      <c r="N4" s="122">
        <f t="shared" si="1"/>
        <v>3200000</v>
      </c>
      <c r="O4" s="123">
        <f t="shared" si="2"/>
        <v>12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28.5" customHeight="1">
      <c r="A5" s="125" t="s">
        <v>641</v>
      </c>
      <c r="B5" s="126"/>
      <c r="C5" s="126"/>
      <c r="D5" s="126"/>
      <c r="E5" s="126"/>
      <c r="F5" s="126"/>
      <c r="G5" s="126"/>
      <c r="H5" s="126"/>
      <c r="I5" s="126"/>
      <c r="J5" s="126"/>
      <c r="K5" s="127"/>
      <c r="L5" s="127"/>
      <c r="M5" s="127"/>
      <c r="N5" s="128">
        <f t="shared" ref="N5:O5" si="3">sum(N2:N4)</f>
        <v>9200000</v>
      </c>
      <c r="O5" s="129">
        <f t="shared" si="3"/>
        <v>32</v>
      </c>
      <c r="P5" s="130">
        <f>I39</f>
        <v>32</v>
      </c>
      <c r="Q5" s="127" t="b">
        <f>P5=O5</f>
        <v>1</v>
      </c>
      <c r="R5" s="127"/>
      <c r="S5" s="127"/>
      <c r="T5" s="127"/>
      <c r="U5" s="127"/>
      <c r="V5" s="127"/>
      <c r="W5" s="127"/>
      <c r="X5" s="127"/>
      <c r="Y5" s="127"/>
      <c r="Z5" s="127"/>
    </row>
    <row r="6" ht="28.5" customHeight="1">
      <c r="A6" s="131" t="s">
        <v>1</v>
      </c>
      <c r="B6" s="131" t="s">
        <v>95</v>
      </c>
      <c r="C6" s="131" t="s">
        <v>96</v>
      </c>
      <c r="D6" s="131" t="s">
        <v>97</v>
      </c>
      <c r="E6" s="131" t="s">
        <v>98</v>
      </c>
      <c r="F6" s="131" t="s">
        <v>99</v>
      </c>
      <c r="G6" s="131" t="s">
        <v>101</v>
      </c>
      <c r="H6" s="131" t="s">
        <v>642</v>
      </c>
      <c r="I6" s="131" t="s">
        <v>643</v>
      </c>
      <c r="J6" s="131" t="s">
        <v>115</v>
      </c>
      <c r="L6" s="67"/>
      <c r="M6" s="67"/>
      <c r="N6" s="12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132">
        <v>1.0</v>
      </c>
      <c r="B7" s="132" t="s">
        <v>156</v>
      </c>
      <c r="C7" s="133" t="s">
        <v>157</v>
      </c>
      <c r="D7" s="133" t="s">
        <v>144</v>
      </c>
      <c r="E7" s="133" t="s">
        <v>158</v>
      </c>
      <c r="F7" s="133" t="s">
        <v>159</v>
      </c>
      <c r="G7" s="132" t="s">
        <v>129</v>
      </c>
      <c r="H7" s="134" t="s">
        <v>644</v>
      </c>
      <c r="I7" s="95">
        <f>if(isna(vlookup(B7,'Danh sách MASTER'!$B$3:$M$119,12,0)),0,vlookup(B7,'Danh sách MASTER'!$B$3:$M$119,12,0))</f>
        <v>1</v>
      </c>
      <c r="J7" s="123" t="str">
        <f>vlookup(B7,'Danh sách MASTER'!$B$3:$W$118,22,0)</f>
        <v>Sơn Cảng</v>
      </c>
      <c r="L7" s="67"/>
      <c r="M7" s="67"/>
      <c r="N7" s="12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132">
        <f t="shared" ref="A8:A38" si="4">A7+1</f>
        <v>2</v>
      </c>
      <c r="B8" s="132" t="s">
        <v>160</v>
      </c>
      <c r="C8" s="133" t="s">
        <v>161</v>
      </c>
      <c r="D8" s="133" t="s">
        <v>144</v>
      </c>
      <c r="E8" s="133" t="s">
        <v>158</v>
      </c>
      <c r="F8" s="133" t="s">
        <v>162</v>
      </c>
      <c r="G8" s="132" t="s">
        <v>129</v>
      </c>
      <c r="H8" s="134" t="s">
        <v>644</v>
      </c>
      <c r="I8" s="95">
        <f>if(isna(vlookup(B8,'Danh sách MASTER'!$B$3:$M$119,12,0)),0,vlookup(B8,'Danh sách MASTER'!$B$3:$M$119,12,0))</f>
        <v>1</v>
      </c>
      <c r="J8" s="123" t="str">
        <f>vlookup(B8,'Danh sách MASTER'!$B$3:$V$118,21,0)</f>
        <v>Phú Anh</v>
      </c>
      <c r="L8" s="67"/>
      <c r="M8" s="67"/>
      <c r="N8" s="12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132">
        <f t="shared" si="4"/>
        <v>3</v>
      </c>
      <c r="B9" s="132" t="s">
        <v>140</v>
      </c>
      <c r="C9" s="133" t="s">
        <v>141</v>
      </c>
      <c r="D9" s="133" t="s">
        <v>126</v>
      </c>
      <c r="E9" s="133" t="s">
        <v>126</v>
      </c>
      <c r="F9" s="133" t="s">
        <v>142</v>
      </c>
      <c r="G9" s="132" t="s">
        <v>129</v>
      </c>
      <c r="H9" s="134" t="s">
        <v>645</v>
      </c>
      <c r="I9" s="95">
        <f>if(isna(vlookup(B9,'Danh sách MASTER'!$B$3:$M$119,12,0)),0,vlookup(B9,'Danh sách MASTER'!$B$3:$M$119,12,0))</f>
        <v>1</v>
      </c>
      <c r="J9" s="123" t="str">
        <f>vlookup(B9,'Danh sách MASTER'!$B$3:$V$118,21,0)</f>
        <v>Phú Anh</v>
      </c>
      <c r="L9" s="67"/>
      <c r="M9" s="67"/>
      <c r="N9" s="12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132">
        <f t="shared" si="4"/>
        <v>4</v>
      </c>
      <c r="B10" s="132" t="s">
        <v>170</v>
      </c>
      <c r="C10" s="133" t="s">
        <v>171</v>
      </c>
      <c r="D10" s="133" t="s">
        <v>165</v>
      </c>
      <c r="E10" s="133" t="s">
        <v>166</v>
      </c>
      <c r="F10" s="133" t="s">
        <v>172</v>
      </c>
      <c r="G10" s="132" t="s">
        <v>129</v>
      </c>
      <c r="H10" s="134" t="s">
        <v>645</v>
      </c>
      <c r="I10" s="95">
        <f>if(isna(vlookup(B10,'Danh sách MASTER'!$B$3:$M$119,12,0)),0,vlookup(B10,'Danh sách MASTER'!$B$3:$M$119,12,0))</f>
        <v>1</v>
      </c>
      <c r="J10" s="123" t="str">
        <f>vlookup(B10,'Danh sách MASTER'!$B$3:$V$118,21,0)</f>
        <v>Phú Anh</v>
      </c>
      <c r="L10" s="67"/>
      <c r="M10" s="67"/>
      <c r="N10" s="12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132">
        <f t="shared" si="4"/>
        <v>5</v>
      </c>
      <c r="B11" s="132" t="s">
        <v>168</v>
      </c>
      <c r="C11" s="133" t="s">
        <v>169</v>
      </c>
      <c r="D11" s="133" t="s">
        <v>165</v>
      </c>
      <c r="E11" s="133" t="s">
        <v>166</v>
      </c>
      <c r="F11" s="133" t="s">
        <v>167</v>
      </c>
      <c r="G11" s="132" t="s">
        <v>129</v>
      </c>
      <c r="H11" s="134" t="s">
        <v>646</v>
      </c>
      <c r="I11" s="95">
        <f>if(isna(vlookup(B11,'Danh sách MASTER'!$B$3:$M$119,12,0)),0,vlookup(B11,'Danh sách MASTER'!$B$3:$M$119,12,0))</f>
        <v>1</v>
      </c>
      <c r="J11" s="123" t="str">
        <f>vlookup(B11,'Danh sách MASTER'!$B$3:$V$118,21,0)</f>
        <v>Sơn Cảng</v>
      </c>
      <c r="L11" s="67"/>
      <c r="M11" s="67"/>
      <c r="N11" s="12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132">
        <f t="shared" si="4"/>
        <v>6</v>
      </c>
      <c r="B12" s="132" t="s">
        <v>184</v>
      </c>
      <c r="C12" s="133" t="s">
        <v>185</v>
      </c>
      <c r="D12" s="133" t="s">
        <v>165</v>
      </c>
      <c r="E12" s="133" t="s">
        <v>179</v>
      </c>
      <c r="F12" s="133" t="s">
        <v>186</v>
      </c>
      <c r="G12" s="132" t="s">
        <v>129</v>
      </c>
      <c r="H12" s="134" t="s">
        <v>646</v>
      </c>
      <c r="I12" s="95">
        <f>if(isna(vlookup(B12,'Danh sách MASTER'!$B$3:$M$119,12,0)),0,vlookup(B12,'Danh sách MASTER'!$B$3:$M$119,12,0))</f>
        <v>1</v>
      </c>
      <c r="J12" s="123" t="str">
        <f>vlookup(B12,'Danh sách MASTER'!$B$3:$V$118,21,0)</f>
        <v>Sơn Cảng</v>
      </c>
      <c r="L12" s="67"/>
      <c r="M12" s="67"/>
      <c r="N12" s="12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132">
        <f t="shared" si="4"/>
        <v>7</v>
      </c>
      <c r="B13" s="132">
        <v>133.0</v>
      </c>
      <c r="C13" s="133" t="s">
        <v>216</v>
      </c>
      <c r="D13" s="133" t="s">
        <v>197</v>
      </c>
      <c r="E13" s="133" t="s">
        <v>205</v>
      </c>
      <c r="F13" s="133" t="s">
        <v>206</v>
      </c>
      <c r="G13" s="132" t="s">
        <v>129</v>
      </c>
      <c r="H13" s="134" t="s">
        <v>647</v>
      </c>
      <c r="I13" s="95">
        <f>if(isna(vlookup(B13,'Danh sách MASTER'!$B$3:$M$119,12,0)),0,vlookup(B13,'Danh sách MASTER'!$B$3:$M$119,12,0))</f>
        <v>1</v>
      </c>
      <c r="J13" s="123" t="str">
        <f>vlookup(B13,'Danh sách MASTER'!$B$3:$V$118,21,0)</f>
        <v>Sơn Cảng</v>
      </c>
      <c r="L13" s="67"/>
      <c r="M13" s="67"/>
      <c r="N13" s="12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132">
        <f t="shared" si="4"/>
        <v>8</v>
      </c>
      <c r="B14" s="132">
        <v>134.0</v>
      </c>
      <c r="C14" s="133" t="s">
        <v>217</v>
      </c>
      <c r="D14" s="133" t="s">
        <v>197</v>
      </c>
      <c r="E14" s="133" t="s">
        <v>205</v>
      </c>
      <c r="F14" s="133" t="s">
        <v>206</v>
      </c>
      <c r="G14" s="132" t="s">
        <v>129</v>
      </c>
      <c r="H14" s="134" t="s">
        <v>647</v>
      </c>
      <c r="I14" s="95">
        <f>if(isna(vlookup(B14,'Danh sách MASTER'!$B$3:$M$119,12,0)),0,vlookup(B14,'Danh sách MASTER'!$B$3:$M$119,12,0))</f>
        <v>1</v>
      </c>
      <c r="J14" s="123" t="str">
        <f>vlookup(B14,'Danh sách MASTER'!$B$3:$V$118,21,0)</f>
        <v>Sơn Cảng</v>
      </c>
      <c r="L14" s="67"/>
      <c r="M14" s="67"/>
      <c r="N14" s="12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132">
        <f t="shared" si="4"/>
        <v>9</v>
      </c>
      <c r="B15" s="132">
        <v>135.0</v>
      </c>
      <c r="C15" s="133" t="s">
        <v>218</v>
      </c>
      <c r="D15" s="133" t="s">
        <v>197</v>
      </c>
      <c r="E15" s="133" t="s">
        <v>205</v>
      </c>
      <c r="F15" s="133" t="s">
        <v>206</v>
      </c>
      <c r="G15" s="132" t="s">
        <v>129</v>
      </c>
      <c r="H15" s="134" t="s">
        <v>648</v>
      </c>
      <c r="I15" s="95">
        <f>if(isna(vlookup(B15,'Danh sách MASTER'!$B$3:$M$119,12,0)),0,vlookup(B15,'Danh sách MASTER'!$B$3:$M$119,12,0))</f>
        <v>1</v>
      </c>
      <c r="J15" s="123" t="str">
        <f>vlookup(B15,'Danh sách MASTER'!$B$3:$V$118,21,0)</f>
        <v>Sơn Cảng</v>
      </c>
      <c r="L15" s="67"/>
      <c r="M15" s="67"/>
      <c r="N15" s="12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132">
        <f t="shared" si="4"/>
        <v>10</v>
      </c>
      <c r="B16" s="132">
        <v>139.0</v>
      </c>
      <c r="C16" s="133" t="s">
        <v>219</v>
      </c>
      <c r="D16" s="133" t="s">
        <v>197</v>
      </c>
      <c r="E16" s="133" t="s">
        <v>205</v>
      </c>
      <c r="F16" s="133" t="s">
        <v>206</v>
      </c>
      <c r="G16" s="132" t="s">
        <v>129</v>
      </c>
      <c r="H16" s="134" t="s">
        <v>648</v>
      </c>
      <c r="I16" s="95">
        <f>if(isna(vlookup(B16,'Danh sách MASTER'!$B$3:$M$119,12,0)),0,vlookup(B16,'Danh sách MASTER'!$B$3:$M$119,12,0))</f>
        <v>1</v>
      </c>
      <c r="J16" s="123" t="str">
        <f>vlookup(B16,'Danh sách MASTER'!$B$3:$V$118,21,0)</f>
        <v>Sơn Cảng</v>
      </c>
      <c r="L16" s="67"/>
      <c r="M16" s="67"/>
      <c r="N16" s="12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132">
        <f t="shared" si="4"/>
        <v>11</v>
      </c>
      <c r="B17" s="132" t="s">
        <v>124</v>
      </c>
      <c r="C17" s="133" t="s">
        <v>125</v>
      </c>
      <c r="D17" s="133" t="s">
        <v>126</v>
      </c>
      <c r="E17" s="133" t="s">
        <v>127</v>
      </c>
      <c r="F17" s="133" t="s">
        <v>128</v>
      </c>
      <c r="G17" s="132" t="s">
        <v>129</v>
      </c>
      <c r="H17" s="134" t="s">
        <v>649</v>
      </c>
      <c r="I17" s="95">
        <f>if(isna(vlookup(B17,'Danh sách MASTER'!$B$3:$M$119,12,0)),0,vlookup(B17,'Danh sách MASTER'!$B$3:$M$119,12,0))</f>
        <v>1</v>
      </c>
      <c r="J17" s="123" t="str">
        <f>vlookup(B17,'Danh sách MASTER'!$B$3:$V$118,21,0)</f>
        <v>Sơn Cảng</v>
      </c>
      <c r="L17" s="67"/>
      <c r="M17" s="67"/>
      <c r="N17" s="12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132">
        <f t="shared" si="4"/>
        <v>12</v>
      </c>
      <c r="B18" s="132" t="s">
        <v>135</v>
      </c>
      <c r="C18" s="133" t="s">
        <v>136</v>
      </c>
      <c r="D18" s="133" t="s">
        <v>126</v>
      </c>
      <c r="E18" s="133" t="s">
        <v>127</v>
      </c>
      <c r="F18" s="133" t="s">
        <v>137</v>
      </c>
      <c r="G18" s="132" t="s">
        <v>129</v>
      </c>
      <c r="H18" s="134" t="s">
        <v>649</v>
      </c>
      <c r="I18" s="95">
        <f>if(isna(vlookup(B18,'Danh sách MASTER'!$B$3:$M$119,12,0)),0,vlookup(B18,'Danh sách MASTER'!$B$3:$M$119,12,0))</f>
        <v>1</v>
      </c>
      <c r="J18" s="123" t="str">
        <f>vlookup(B18,'Danh sách MASTER'!$B$3:$V$118,21,0)</f>
        <v>Phú Anh</v>
      </c>
      <c r="L18" s="67"/>
      <c r="M18" s="67"/>
      <c r="N18" s="12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132">
        <f t="shared" si="4"/>
        <v>13</v>
      </c>
      <c r="B19" s="132" t="s">
        <v>138</v>
      </c>
      <c r="C19" s="133" t="s">
        <v>139</v>
      </c>
      <c r="D19" s="133" t="s">
        <v>126</v>
      </c>
      <c r="E19" s="133" t="s">
        <v>127</v>
      </c>
      <c r="F19" s="133" t="s">
        <v>137</v>
      </c>
      <c r="G19" s="132" t="s">
        <v>129</v>
      </c>
      <c r="H19" s="134" t="s">
        <v>649</v>
      </c>
      <c r="I19" s="95">
        <f>if(isna(vlookup(B19,'Danh sách MASTER'!$B$3:$M$119,12,0)),0,vlookup(B19,'Danh sách MASTER'!$B$3:$M$119,12,0))</f>
        <v>1</v>
      </c>
      <c r="J19" s="123" t="str">
        <f>vlookup(B19,'Danh sách MASTER'!$B$3:$V$118,21,0)</f>
        <v>Sơn Cảng</v>
      </c>
      <c r="L19" s="67"/>
      <c r="M19" s="67"/>
      <c r="N19" s="12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135">
        <f t="shared" si="4"/>
        <v>14</v>
      </c>
      <c r="B20" s="132">
        <v>106.0</v>
      </c>
      <c r="C20" s="133" t="s">
        <v>196</v>
      </c>
      <c r="D20" s="133" t="s">
        <v>197</v>
      </c>
      <c r="E20" s="133" t="s">
        <v>198</v>
      </c>
      <c r="F20" s="133" t="s">
        <v>199</v>
      </c>
      <c r="G20" s="132" t="s">
        <v>122</v>
      </c>
      <c r="H20" s="136" t="s">
        <v>650</v>
      </c>
      <c r="I20" s="95">
        <f>if(isna(vlookup(B20,'Danh sách MASTER'!$B$3:$M$119,12,0)),0,vlookup(B20,'Danh sách MASTER'!$B$3:$M$119,12,0))</f>
        <v>1</v>
      </c>
      <c r="J20" s="123" t="str">
        <f>vlookup(B20,'Danh sách MASTER'!$B$3:$V$118,21,0)</f>
        <v>Sơn Cảng</v>
      </c>
      <c r="L20" s="67"/>
      <c r="M20" s="67"/>
      <c r="N20" s="12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135">
        <f t="shared" si="4"/>
        <v>15</v>
      </c>
      <c r="B21" s="132" t="s">
        <v>223</v>
      </c>
      <c r="C21" s="133" t="s">
        <v>224</v>
      </c>
      <c r="D21" s="133" t="s">
        <v>197</v>
      </c>
      <c r="E21" s="133" t="s">
        <v>205</v>
      </c>
      <c r="F21" s="133" t="s">
        <v>222</v>
      </c>
      <c r="G21" s="132" t="s">
        <v>122</v>
      </c>
      <c r="H21" s="136" t="s">
        <v>650</v>
      </c>
      <c r="I21" s="95">
        <f>if(isna(vlookup(B21,'Danh sách MASTER'!$B$3:$M$119,12,0)),0,vlookup(B21,'Danh sách MASTER'!$B$3:$M$119,12,0))</f>
        <v>1</v>
      </c>
      <c r="J21" s="123" t="str">
        <f>vlookup(B21,'Danh sách MASTER'!$B$3:$V$118,21,0)</f>
        <v>Phú Anh</v>
      </c>
      <c r="L21" s="67"/>
      <c r="M21" s="67"/>
      <c r="N21" s="12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135">
        <f t="shared" si="4"/>
        <v>16</v>
      </c>
      <c r="B22" s="132" t="s">
        <v>236</v>
      </c>
      <c r="C22" s="133" t="s">
        <v>237</v>
      </c>
      <c r="D22" s="133" t="s">
        <v>197</v>
      </c>
      <c r="E22" s="133" t="s">
        <v>127</v>
      </c>
      <c r="F22" s="133" t="s">
        <v>238</v>
      </c>
      <c r="G22" s="132" t="s">
        <v>122</v>
      </c>
      <c r="H22" s="136" t="s">
        <v>650</v>
      </c>
      <c r="I22" s="95">
        <f>if(isna(vlookup(B22,'Danh sách MASTER'!$B$3:$M$119,12,0)),0,vlookup(B22,'Danh sách MASTER'!$B$3:$M$119,12,0))</f>
        <v>1</v>
      </c>
      <c r="J22" s="123" t="str">
        <f>vlookup(B22,'Danh sách MASTER'!$B$3:$V$118,21,0)</f>
        <v>Phú Anh</v>
      </c>
      <c r="L22" s="67"/>
      <c r="M22" s="67"/>
      <c r="N22" s="12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135">
        <f t="shared" si="4"/>
        <v>17</v>
      </c>
      <c r="B23" s="132">
        <v>130.0</v>
      </c>
      <c r="C23" s="133" t="s">
        <v>234</v>
      </c>
      <c r="D23" s="133" t="s">
        <v>197</v>
      </c>
      <c r="E23" s="133" t="s">
        <v>127</v>
      </c>
      <c r="F23" s="133" t="s">
        <v>235</v>
      </c>
      <c r="G23" s="132" t="s">
        <v>122</v>
      </c>
      <c r="H23" s="136" t="s">
        <v>651</v>
      </c>
      <c r="I23" s="95">
        <f>if(isna(vlookup(B23,'Danh sách MASTER'!$B$3:$M$119,12,0)),0,vlookup(B23,'Danh sách MASTER'!$B$3:$M$119,12,0))</f>
        <v>1</v>
      </c>
      <c r="J23" s="123" t="str">
        <f>vlookup(B23,'Danh sách MASTER'!$B$3:$V$118,21,0)</f>
        <v>Sơn Cảng</v>
      </c>
      <c r="L23" s="67"/>
      <c r="M23" s="67"/>
      <c r="N23" s="12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135">
        <f t="shared" si="4"/>
        <v>18</v>
      </c>
      <c r="B24" s="132">
        <v>129.0</v>
      </c>
      <c r="C24" s="133" t="s">
        <v>251</v>
      </c>
      <c r="D24" s="133" t="s">
        <v>197</v>
      </c>
      <c r="E24" s="133" t="s">
        <v>249</v>
      </c>
      <c r="F24" s="133" t="s">
        <v>250</v>
      </c>
      <c r="G24" s="132" t="s">
        <v>122</v>
      </c>
      <c r="H24" s="136" t="s">
        <v>651</v>
      </c>
      <c r="I24" s="95">
        <f>if(isna(vlookup(B24,'Danh sách MASTER'!$B$3:$M$119,12,0)),0,vlookup(B24,'Danh sách MASTER'!$B$3:$M$119,12,0))</f>
        <v>1</v>
      </c>
      <c r="J24" s="123" t="str">
        <f>vlookup(B24,'Danh sách MASTER'!$B$3:$V$118,21,0)</f>
        <v>Sơn Cảng</v>
      </c>
      <c r="L24" s="67"/>
      <c r="M24" s="67"/>
      <c r="N24" s="12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132">
        <f t="shared" si="4"/>
        <v>19</v>
      </c>
      <c r="B25" s="15" t="s">
        <v>395</v>
      </c>
      <c r="C25" s="16" t="s">
        <v>396</v>
      </c>
      <c r="D25" s="16" t="s">
        <v>197</v>
      </c>
      <c r="E25" s="16" t="s">
        <v>397</v>
      </c>
      <c r="F25" s="16" t="s">
        <v>398</v>
      </c>
      <c r="G25" s="132" t="s">
        <v>122</v>
      </c>
      <c r="H25" s="136" t="s">
        <v>651</v>
      </c>
      <c r="I25" s="95">
        <f>if(isna(vlookup(B25,'Danh sách MASTER'!$B$3:$M$119,12,0)),0,vlookup(B25,'Danh sách MASTER'!$B$3:$M$119,12,0))</f>
        <v>1</v>
      </c>
      <c r="J25" s="123" t="str">
        <f>vlookup(B25,'Danh sách MASTER'!$B$3:$V$118,21,0)</f>
        <v>Phú Anh</v>
      </c>
      <c r="L25" s="67"/>
      <c r="M25" s="67"/>
      <c r="N25" s="12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132">
        <f t="shared" si="4"/>
        <v>20</v>
      </c>
      <c r="B26" s="132" t="s">
        <v>148</v>
      </c>
      <c r="C26" s="133" t="s">
        <v>149</v>
      </c>
      <c r="D26" s="133" t="s">
        <v>144</v>
      </c>
      <c r="E26" s="133" t="s">
        <v>145</v>
      </c>
      <c r="F26" s="133" t="s">
        <v>150</v>
      </c>
      <c r="G26" s="132" t="s">
        <v>122</v>
      </c>
      <c r="H26" s="136" t="s">
        <v>652</v>
      </c>
      <c r="I26" s="95">
        <f>if(isna(vlookup(B26,'Danh sách MASTER'!$B$3:$M$119,12,0)),0,vlookup(B26,'Danh sách MASTER'!$B$3:$M$119,12,0))</f>
        <v>1</v>
      </c>
      <c r="J26" s="123" t="str">
        <f>vlookup(B26,'Danh sách MASTER'!$B$3:$V$118,21,0)</f>
        <v>Tà Lùng Quang Minh</v>
      </c>
      <c r="L26" s="67"/>
      <c r="M26" s="67"/>
      <c r="N26" s="12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132">
        <f t="shared" si="4"/>
        <v>21</v>
      </c>
      <c r="B27" s="132" t="s">
        <v>200</v>
      </c>
      <c r="C27" s="133" t="s">
        <v>201</v>
      </c>
      <c r="D27" s="133" t="s">
        <v>197</v>
      </c>
      <c r="E27" s="133" t="s">
        <v>198</v>
      </c>
      <c r="F27" s="133" t="s">
        <v>202</v>
      </c>
      <c r="G27" s="132" t="s">
        <v>122</v>
      </c>
      <c r="H27" s="136" t="s">
        <v>652</v>
      </c>
      <c r="I27" s="95">
        <f>if(isna(vlookup(B27,'Danh sách MASTER'!$B$3:$M$119,12,0)),0,vlookup(B27,'Danh sách MASTER'!$B$3:$M$119,12,0))</f>
        <v>1</v>
      </c>
      <c r="J27" s="123" t="str">
        <f>vlookup(B27,'Danh sách MASTER'!$B$3:$V$118,21,0)</f>
        <v>Phú Anh</v>
      </c>
      <c r="L27" s="67"/>
      <c r="M27" s="67"/>
      <c r="N27" s="12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132">
        <f t="shared" si="4"/>
        <v>22</v>
      </c>
      <c r="B28" s="132" t="s">
        <v>203</v>
      </c>
      <c r="C28" s="133" t="s">
        <v>204</v>
      </c>
      <c r="D28" s="133" t="s">
        <v>197</v>
      </c>
      <c r="E28" s="133" t="s">
        <v>205</v>
      </c>
      <c r="F28" s="133" t="s">
        <v>206</v>
      </c>
      <c r="G28" s="132" t="s">
        <v>122</v>
      </c>
      <c r="H28" s="136" t="s">
        <v>653</v>
      </c>
      <c r="I28" s="95">
        <f>if(isna(vlookup(B28,'Danh sách MASTER'!$B$3:$M$119,12,0)),0,vlookup(B28,'Danh sách MASTER'!$B$3:$M$119,12,0))</f>
        <v>1</v>
      </c>
      <c r="J28" s="123" t="str">
        <f>vlookup(B28,'Danh sách MASTER'!$B$3:$V$118,21,0)</f>
        <v>Sơn Cảng</v>
      </c>
      <c r="L28" s="67"/>
      <c r="M28" s="67"/>
      <c r="N28" s="12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132">
        <f t="shared" si="4"/>
        <v>23</v>
      </c>
      <c r="B29" s="132" t="s">
        <v>207</v>
      </c>
      <c r="C29" s="133" t="s">
        <v>208</v>
      </c>
      <c r="D29" s="133" t="s">
        <v>197</v>
      </c>
      <c r="E29" s="133" t="s">
        <v>205</v>
      </c>
      <c r="F29" s="133" t="s">
        <v>206</v>
      </c>
      <c r="G29" s="132" t="s">
        <v>122</v>
      </c>
      <c r="H29" s="136" t="s">
        <v>653</v>
      </c>
      <c r="I29" s="95">
        <f>if(isna(vlookup(B29,'Danh sách MASTER'!$B$3:$M$119,12,0)),0,vlookup(B29,'Danh sách MASTER'!$B$3:$M$119,12,0))</f>
        <v>1</v>
      </c>
      <c r="J29" s="123" t="str">
        <f>vlookup(B29,'Danh sách MASTER'!$B$3:$V$118,21,0)</f>
        <v>Sơn Cảng</v>
      </c>
      <c r="L29" s="67"/>
      <c r="M29" s="67"/>
      <c r="N29" s="12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132">
        <f t="shared" si="4"/>
        <v>24</v>
      </c>
      <c r="B30" s="132" t="s">
        <v>220</v>
      </c>
      <c r="C30" s="133" t="s">
        <v>221</v>
      </c>
      <c r="D30" s="133" t="s">
        <v>197</v>
      </c>
      <c r="E30" s="133" t="s">
        <v>205</v>
      </c>
      <c r="F30" s="133" t="s">
        <v>222</v>
      </c>
      <c r="G30" s="132" t="s">
        <v>122</v>
      </c>
      <c r="H30" s="136" t="s">
        <v>654</v>
      </c>
      <c r="I30" s="95">
        <f>if(isna(vlookup(B30,'Danh sách MASTER'!$B$3:$M$119,12,0)),0,vlookup(B30,'Danh sách MASTER'!$B$3:$M$119,12,0))</f>
        <v>1</v>
      </c>
      <c r="J30" s="123" t="str">
        <f>vlookup(B30,'Danh sách MASTER'!$B$3:$V$118,21,0)</f>
        <v>Phú Anh</v>
      </c>
      <c r="L30" s="67"/>
      <c r="M30" s="67"/>
      <c r="N30" s="12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132">
        <f t="shared" si="4"/>
        <v>25</v>
      </c>
      <c r="B31" s="132" t="s">
        <v>247</v>
      </c>
      <c r="C31" s="133" t="s">
        <v>248</v>
      </c>
      <c r="D31" s="133" t="s">
        <v>197</v>
      </c>
      <c r="E31" s="133" t="s">
        <v>249</v>
      </c>
      <c r="F31" s="133" t="s">
        <v>250</v>
      </c>
      <c r="G31" s="132" t="s">
        <v>122</v>
      </c>
      <c r="H31" s="136" t="s">
        <v>654</v>
      </c>
      <c r="I31" s="95">
        <f>if(isna(vlookup(B31,'Danh sách MASTER'!$B$3:$M$119,12,0)),0,vlookup(B31,'Danh sách MASTER'!$B$3:$M$119,12,0))</f>
        <v>1</v>
      </c>
      <c r="J31" s="123" t="str">
        <f>vlookup(B31,'Danh sách MASTER'!$B$3:$V$118,21,0)</f>
        <v>Phú Anh</v>
      </c>
      <c r="L31" s="67"/>
      <c r="M31" s="67"/>
      <c r="N31" s="12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132">
        <f t="shared" si="4"/>
        <v>26</v>
      </c>
      <c r="B32" s="132" t="s">
        <v>211</v>
      </c>
      <c r="C32" s="133" t="s">
        <v>212</v>
      </c>
      <c r="D32" s="133" t="s">
        <v>197</v>
      </c>
      <c r="E32" s="133" t="s">
        <v>205</v>
      </c>
      <c r="F32" s="133" t="s">
        <v>206</v>
      </c>
      <c r="G32" s="132" t="s">
        <v>122</v>
      </c>
      <c r="H32" s="136" t="s">
        <v>655</v>
      </c>
      <c r="I32" s="95">
        <f>if(isna(vlookup(B32,'Danh sách MASTER'!$B$3:$M$119,12,0)),0,vlookup(B32,'Danh sách MASTER'!$B$3:$M$119,12,0))</f>
        <v>1</v>
      </c>
      <c r="J32" s="123" t="str">
        <f>vlookup(B32,'Danh sách MASTER'!$B$3:$V$118,21,0)</f>
        <v>Sơn Cảng</v>
      </c>
      <c r="L32" s="67"/>
      <c r="M32" s="67"/>
      <c r="N32" s="12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135">
        <f t="shared" si="4"/>
        <v>27</v>
      </c>
      <c r="B33" s="132">
        <v>126.0</v>
      </c>
      <c r="C33" s="133" t="s">
        <v>215</v>
      </c>
      <c r="D33" s="133" t="s">
        <v>197</v>
      </c>
      <c r="E33" s="133" t="s">
        <v>205</v>
      </c>
      <c r="F33" s="133" t="s">
        <v>206</v>
      </c>
      <c r="G33" s="132" t="s">
        <v>122</v>
      </c>
      <c r="H33" s="136" t="s">
        <v>655</v>
      </c>
      <c r="I33" s="95">
        <f>if(isna(vlookup(B33,'Danh sách MASTER'!$B$3:$M$119,12,0)),0,vlookup(B33,'Danh sách MASTER'!$B$3:$M$119,12,0))</f>
        <v>1</v>
      </c>
      <c r="J33" s="123" t="str">
        <f>vlookup(B33,'Danh sách MASTER'!$B$3:$V$118,21,0)</f>
        <v>Sơn Cảng</v>
      </c>
      <c r="L33" s="67"/>
      <c r="M33" s="67"/>
      <c r="N33" s="12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132">
        <f t="shared" si="4"/>
        <v>28</v>
      </c>
      <c r="B34" s="132" t="s">
        <v>225</v>
      </c>
      <c r="C34" s="133" t="s">
        <v>226</v>
      </c>
      <c r="D34" s="133" t="s">
        <v>197</v>
      </c>
      <c r="E34" s="133" t="s">
        <v>205</v>
      </c>
      <c r="F34" s="133" t="s">
        <v>227</v>
      </c>
      <c r="G34" s="132" t="s">
        <v>122</v>
      </c>
      <c r="H34" s="136" t="s">
        <v>656</v>
      </c>
      <c r="I34" s="95">
        <f>if(isna(vlookup(B34,'Danh sách MASTER'!$B$3:$M$119,12,0)),0,vlookup(B34,'Danh sách MASTER'!$B$3:$M$119,12,0))</f>
        <v>1</v>
      </c>
      <c r="J34" s="123" t="str">
        <f>vlookup(B34,'Danh sách MASTER'!$B$3:$V$118,21,0)</f>
        <v>Phú Anh</v>
      </c>
      <c r="L34" s="67"/>
      <c r="M34" s="67"/>
      <c r="N34" s="12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132">
        <f t="shared" si="4"/>
        <v>29</v>
      </c>
      <c r="B35" s="132">
        <v>103.0</v>
      </c>
      <c r="C35" s="133" t="s">
        <v>258</v>
      </c>
      <c r="D35" s="133" t="s">
        <v>255</v>
      </c>
      <c r="E35" s="133" t="s">
        <v>255</v>
      </c>
      <c r="F35" s="133" t="s">
        <v>259</v>
      </c>
      <c r="G35" s="132" t="s">
        <v>122</v>
      </c>
      <c r="H35" s="136" t="s">
        <v>656</v>
      </c>
      <c r="I35" s="95">
        <f>if(isna(vlookup(B35,'Danh sách MASTER'!$B$3:$M$119,12,0)),0,vlookup(B35,'Danh sách MASTER'!$B$3:$M$119,12,0))</f>
        <v>1</v>
      </c>
      <c r="J35" s="123" t="str">
        <f>vlookup(B35,'Danh sách MASTER'!$B$3:$V$118,21,0)</f>
        <v>Sơn Cảng</v>
      </c>
      <c r="L35" s="67"/>
      <c r="M35" s="67"/>
      <c r="N35" s="12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132">
        <f t="shared" si="4"/>
        <v>30</v>
      </c>
      <c r="B36" s="132">
        <v>131.0</v>
      </c>
      <c r="C36" s="133" t="s">
        <v>252</v>
      </c>
      <c r="D36" s="133" t="s">
        <v>197</v>
      </c>
      <c r="E36" s="133" t="s">
        <v>249</v>
      </c>
      <c r="F36" s="133" t="s">
        <v>250</v>
      </c>
      <c r="G36" s="132" t="s">
        <v>122</v>
      </c>
      <c r="H36" s="136" t="s">
        <v>657</v>
      </c>
      <c r="I36" s="95">
        <f>if(isna(vlookup(B36,'Danh sách MASTER'!$B$3:$M$119,12,0)),0,vlookup(B36,'Danh sách MASTER'!$B$3:$M$119,12,0))</f>
        <v>1</v>
      </c>
      <c r="J36" s="123" t="str">
        <f>vlookup(B36,'Danh sách MASTER'!$B$3:$V$118,21,0)</f>
        <v>Sơn Cảng</v>
      </c>
      <c r="L36" s="67"/>
      <c r="M36" s="67"/>
      <c r="N36" s="12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132">
        <f t="shared" si="4"/>
        <v>31</v>
      </c>
      <c r="B37" s="132" t="s">
        <v>228</v>
      </c>
      <c r="C37" s="133" t="s">
        <v>229</v>
      </c>
      <c r="D37" s="133" t="s">
        <v>197</v>
      </c>
      <c r="E37" s="133" t="s">
        <v>205</v>
      </c>
      <c r="F37" s="133" t="s">
        <v>230</v>
      </c>
      <c r="G37" s="132" t="s">
        <v>122</v>
      </c>
      <c r="H37" s="136" t="s">
        <v>657</v>
      </c>
      <c r="I37" s="95">
        <f>if(isna(vlookup(B37,'Danh sách MASTER'!$B$3:$M$119,12,0)),0,vlookup(B37,'Danh sách MASTER'!$B$3:$M$119,12,0))</f>
        <v>1</v>
      </c>
      <c r="J37" s="123" t="str">
        <f>vlookup(B37,'Danh sách MASTER'!$B$3:$V$118,21,0)</f>
        <v>Phú Anh</v>
      </c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132">
        <f t="shared" si="4"/>
        <v>32</v>
      </c>
      <c r="B38" s="15" t="s">
        <v>163</v>
      </c>
      <c r="C38" s="16" t="s">
        <v>164</v>
      </c>
      <c r="D38" s="16" t="s">
        <v>165</v>
      </c>
      <c r="E38" s="43" t="s">
        <v>166</v>
      </c>
      <c r="F38" s="43" t="s">
        <v>167</v>
      </c>
      <c r="G38" s="134" t="s">
        <v>122</v>
      </c>
      <c r="H38" s="136" t="s">
        <v>657</v>
      </c>
      <c r="I38" s="84">
        <v>1.0</v>
      </c>
      <c r="J38" s="123" t="str">
        <f>vlookup(B38,'Danh sách MASTER'!$B$3:$V$118,21,0)</f>
        <v>Phú Anh</v>
      </c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137"/>
      <c r="B39" s="138"/>
      <c r="C39" s="139" t="s">
        <v>658</v>
      </c>
      <c r="D39" s="140"/>
      <c r="E39" s="140"/>
      <c r="F39" s="140"/>
      <c r="G39" s="137"/>
      <c r="H39" s="137"/>
      <c r="I39" s="141">
        <f>sum(I7:I38)</f>
        <v>32</v>
      </c>
      <c r="J39" s="123"/>
    </row>
    <row r="40">
      <c r="A40" s="142"/>
      <c r="B40" s="142"/>
      <c r="C40" s="143"/>
      <c r="D40" s="143"/>
      <c r="E40" s="143"/>
      <c r="F40" s="143"/>
      <c r="G40" s="142"/>
      <c r="H40" s="142"/>
      <c r="I40" s="143" t="b">
        <f>I39='Danh sách MASTER'!M119</f>
        <v>1</v>
      </c>
      <c r="J40" s="66" t="s">
        <v>335</v>
      </c>
    </row>
    <row r="41">
      <c r="A41" s="144"/>
      <c r="B41" s="144"/>
      <c r="C41" s="145"/>
      <c r="D41" s="145"/>
      <c r="E41" s="145"/>
      <c r="F41" s="145"/>
      <c r="G41" s="144"/>
      <c r="H41" s="144"/>
      <c r="I41" s="144"/>
      <c r="J41" s="145"/>
    </row>
    <row r="42">
      <c r="A42" s="144"/>
      <c r="B42" s="144"/>
      <c r="C42" s="145"/>
      <c r="D42" s="145"/>
      <c r="G42" s="144"/>
      <c r="H42" s="144"/>
      <c r="I42" s="144"/>
      <c r="J42" s="145"/>
    </row>
    <row r="43">
      <c r="A43" s="144"/>
      <c r="B43" s="144"/>
      <c r="C43" s="145"/>
      <c r="D43" s="145"/>
      <c r="G43" s="144"/>
      <c r="H43" s="144"/>
      <c r="I43" s="144"/>
      <c r="J43" s="145"/>
    </row>
    <row r="44">
      <c r="A44" s="144"/>
      <c r="B44" s="144"/>
      <c r="C44" s="145"/>
      <c r="D44" s="145"/>
      <c r="G44" s="144"/>
      <c r="H44" s="144"/>
      <c r="I44" s="144"/>
      <c r="J44" s="145"/>
    </row>
    <row r="45">
      <c r="A45" s="144"/>
      <c r="B45" s="144"/>
      <c r="C45" s="145"/>
      <c r="D45" s="145"/>
      <c r="G45" s="144"/>
      <c r="H45" s="144"/>
      <c r="I45" s="144"/>
      <c r="J45" s="145"/>
    </row>
    <row r="46">
      <c r="A46" s="144"/>
      <c r="B46" s="144"/>
      <c r="C46" s="145"/>
      <c r="D46" s="145"/>
      <c r="G46" s="144"/>
      <c r="H46" s="144"/>
      <c r="I46" s="144"/>
      <c r="J46" s="145"/>
    </row>
    <row r="47">
      <c r="A47" s="144"/>
      <c r="B47" s="144"/>
      <c r="C47" s="145"/>
      <c r="D47" s="145"/>
      <c r="E47" s="145"/>
      <c r="F47" s="145"/>
      <c r="G47" s="144"/>
      <c r="H47" s="144"/>
      <c r="I47" s="144"/>
      <c r="J47" s="145"/>
    </row>
    <row r="48">
      <c r="A48" s="144"/>
      <c r="B48" s="144"/>
      <c r="C48" s="145"/>
      <c r="D48" s="145"/>
      <c r="E48" s="145"/>
      <c r="F48" s="145"/>
      <c r="G48" s="144"/>
      <c r="H48" s="144"/>
      <c r="I48" s="144"/>
      <c r="J48" s="145"/>
    </row>
    <row r="49">
      <c r="A49" s="144"/>
      <c r="B49" s="144"/>
      <c r="C49" s="145"/>
      <c r="D49" s="145"/>
      <c r="E49" s="145"/>
      <c r="F49" s="145"/>
      <c r="G49" s="144"/>
      <c r="H49" s="144"/>
      <c r="I49" s="144"/>
      <c r="J49" s="145"/>
    </row>
  </sheetData>
  <autoFilter ref="$A$6:$Z$4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9.75"/>
    <col customWidth="1" min="3" max="3" width="17.13"/>
    <col customWidth="1" min="5" max="5" width="20.5"/>
    <col customWidth="1" min="6" max="6" width="28.5"/>
    <col customWidth="1" min="7" max="7" width="118.13"/>
    <col customWidth="1" min="8" max="8" width="44.25"/>
  </cols>
  <sheetData>
    <row r="1">
      <c r="A1" s="147" t="s">
        <v>661</v>
      </c>
      <c r="B1" s="148"/>
      <c r="C1" s="148"/>
      <c r="D1" s="148"/>
      <c r="E1" s="148"/>
      <c r="F1" s="148"/>
      <c r="G1" s="148"/>
    </row>
    <row r="2">
      <c r="A2" s="149"/>
      <c r="B2" s="149"/>
      <c r="C2" s="149"/>
      <c r="D2" s="149"/>
      <c r="E2" s="149"/>
      <c r="F2" s="149"/>
      <c r="G2" s="149"/>
    </row>
    <row r="3">
      <c r="A3" s="150" t="s">
        <v>1</v>
      </c>
      <c r="B3" s="151" t="s">
        <v>662</v>
      </c>
      <c r="C3" s="151" t="s">
        <v>663</v>
      </c>
      <c r="D3" s="151" t="s">
        <v>664</v>
      </c>
      <c r="E3" s="152" t="s">
        <v>665</v>
      </c>
      <c r="F3" s="152" t="s">
        <v>666</v>
      </c>
      <c r="G3" s="153" t="s">
        <v>667</v>
      </c>
      <c r="H3" s="154" t="s">
        <v>668</v>
      </c>
    </row>
    <row r="4">
      <c r="A4" s="155" t="s">
        <v>669</v>
      </c>
      <c r="B4" s="156"/>
      <c r="C4" s="156"/>
      <c r="D4" s="156"/>
      <c r="E4" s="156"/>
      <c r="F4" s="156"/>
      <c r="G4" s="157"/>
      <c r="H4" s="92"/>
    </row>
    <row r="5">
      <c r="A5" s="158">
        <v>1.0</v>
      </c>
      <c r="B5" s="159" t="s">
        <v>670</v>
      </c>
      <c r="C5" s="160">
        <v>46279.0</v>
      </c>
      <c r="D5" s="152" t="s">
        <v>671</v>
      </c>
      <c r="E5" s="161"/>
      <c r="F5" s="152" t="s">
        <v>672</v>
      </c>
      <c r="G5" s="162"/>
      <c r="H5" s="92"/>
    </row>
    <row r="6">
      <c r="A6" s="163">
        <v>2.0</v>
      </c>
      <c r="B6" s="164" t="s">
        <v>673</v>
      </c>
      <c r="C6" s="165">
        <v>46280.0</v>
      </c>
      <c r="D6" s="166" t="s">
        <v>671</v>
      </c>
      <c r="E6" s="166" t="s">
        <v>289</v>
      </c>
      <c r="F6" s="166" t="s">
        <v>674</v>
      </c>
      <c r="G6" s="167" t="s">
        <v>675</v>
      </c>
      <c r="H6" s="168" t="s">
        <v>676</v>
      </c>
    </row>
    <row r="7" ht="58.5" customHeight="1">
      <c r="A7" s="163">
        <v>3.0</v>
      </c>
      <c r="B7" s="164" t="s">
        <v>677</v>
      </c>
      <c r="C7" s="165">
        <v>46288.0</v>
      </c>
      <c r="D7" s="166" t="s">
        <v>678</v>
      </c>
      <c r="E7" s="166" t="s">
        <v>679</v>
      </c>
      <c r="F7" s="166" t="s">
        <v>680</v>
      </c>
      <c r="G7" s="167" t="s">
        <v>681</v>
      </c>
      <c r="H7" s="84" t="s">
        <v>682</v>
      </c>
    </row>
    <row r="8">
      <c r="A8" s="163">
        <v>3.1</v>
      </c>
      <c r="B8" s="169" t="s">
        <v>683</v>
      </c>
      <c r="C8" s="165">
        <v>46288.0</v>
      </c>
      <c r="D8" s="166" t="s">
        <v>678</v>
      </c>
      <c r="E8" s="166" t="s">
        <v>679</v>
      </c>
      <c r="F8" s="166" t="s">
        <v>680</v>
      </c>
      <c r="G8" s="169"/>
      <c r="H8" s="84"/>
    </row>
    <row r="9">
      <c r="A9" s="163">
        <v>4.0</v>
      </c>
      <c r="B9" s="169" t="s">
        <v>684</v>
      </c>
      <c r="C9" s="165">
        <v>46292.0</v>
      </c>
      <c r="D9" s="166" t="s">
        <v>678</v>
      </c>
      <c r="E9" s="166" t="s">
        <v>671</v>
      </c>
      <c r="F9" s="166" t="s">
        <v>685</v>
      </c>
      <c r="G9" s="169" t="s">
        <v>686</v>
      </c>
      <c r="H9" s="168" t="s">
        <v>687</v>
      </c>
    </row>
    <row r="10">
      <c r="A10" s="163">
        <v>5.0</v>
      </c>
      <c r="B10" s="169" t="s">
        <v>688</v>
      </c>
      <c r="C10" s="165">
        <v>46287.0</v>
      </c>
      <c r="D10" s="166" t="s">
        <v>671</v>
      </c>
      <c r="E10" s="166" t="s">
        <v>678</v>
      </c>
      <c r="F10" s="166" t="s">
        <v>689</v>
      </c>
      <c r="G10" s="169" t="s">
        <v>690</v>
      </c>
      <c r="H10" s="92"/>
    </row>
    <row r="11">
      <c r="A11" s="163">
        <v>6.0</v>
      </c>
      <c r="B11" s="169" t="s">
        <v>691</v>
      </c>
      <c r="C11" s="165">
        <v>46289.0</v>
      </c>
      <c r="D11" s="166" t="s">
        <v>671</v>
      </c>
      <c r="E11" s="166" t="s">
        <v>692</v>
      </c>
      <c r="F11" s="166" t="s">
        <v>674</v>
      </c>
      <c r="G11" s="169" t="s">
        <v>693</v>
      </c>
      <c r="H11" s="92"/>
    </row>
    <row r="12">
      <c r="A12" s="163">
        <v>7.0</v>
      </c>
      <c r="B12" s="169" t="s">
        <v>694</v>
      </c>
      <c r="C12" s="165">
        <v>46297.0</v>
      </c>
      <c r="D12" s="166" t="s">
        <v>671</v>
      </c>
      <c r="E12" s="166" t="s">
        <v>692</v>
      </c>
      <c r="F12" s="170"/>
      <c r="G12" s="171"/>
      <c r="H12" s="92"/>
    </row>
    <row r="13">
      <c r="A13" s="163">
        <v>8.0</v>
      </c>
      <c r="B13" s="169" t="s">
        <v>695</v>
      </c>
      <c r="C13" s="165">
        <v>46291.0</v>
      </c>
      <c r="D13" s="166" t="s">
        <v>671</v>
      </c>
      <c r="E13" s="166" t="s">
        <v>696</v>
      </c>
      <c r="F13" s="166" t="s">
        <v>697</v>
      </c>
      <c r="G13" s="172"/>
      <c r="H13" s="168" t="s">
        <v>698</v>
      </c>
    </row>
    <row r="14">
      <c r="A14" s="173"/>
      <c r="B14" s="174" t="s">
        <v>699</v>
      </c>
      <c r="C14" s="174"/>
      <c r="D14" s="174" t="s">
        <v>42</v>
      </c>
      <c r="E14" s="174"/>
      <c r="F14" s="174"/>
      <c r="G14" s="175"/>
      <c r="H14" s="103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>
      <c r="A15" s="176" t="s">
        <v>700</v>
      </c>
      <c r="B15" s="177"/>
      <c r="C15" s="177"/>
      <c r="D15" s="177"/>
      <c r="E15" s="177"/>
      <c r="F15" s="177"/>
      <c r="G15" s="178"/>
      <c r="H15" s="92"/>
    </row>
    <row r="16">
      <c r="A16" s="163">
        <v>1.0</v>
      </c>
      <c r="B16" s="169" t="s">
        <v>701</v>
      </c>
      <c r="C16" s="179">
        <v>46280.0</v>
      </c>
      <c r="D16" s="166" t="s">
        <v>671</v>
      </c>
      <c r="E16" s="166" t="s">
        <v>678</v>
      </c>
      <c r="F16" s="166" t="s">
        <v>702</v>
      </c>
      <c r="G16" s="169" t="s">
        <v>703</v>
      </c>
      <c r="H16" s="168" t="s">
        <v>704</v>
      </c>
    </row>
    <row r="17">
      <c r="A17" s="163">
        <v>2.0</v>
      </c>
      <c r="B17" s="169" t="s">
        <v>705</v>
      </c>
      <c r="C17" s="179">
        <v>46299.0</v>
      </c>
      <c r="D17" s="166" t="s">
        <v>678</v>
      </c>
      <c r="E17" s="166" t="s">
        <v>671</v>
      </c>
      <c r="F17" s="166" t="s">
        <v>706</v>
      </c>
      <c r="G17" s="169" t="s">
        <v>707</v>
      </c>
      <c r="H17" s="168" t="s">
        <v>708</v>
      </c>
    </row>
    <row r="18">
      <c r="A18" s="158">
        <v>3.0</v>
      </c>
      <c r="B18" s="180" t="s">
        <v>709</v>
      </c>
      <c r="C18" s="179">
        <v>46283.0</v>
      </c>
      <c r="D18" s="152" t="s">
        <v>678</v>
      </c>
      <c r="E18" s="152" t="s">
        <v>710</v>
      </c>
      <c r="F18" s="152" t="s">
        <v>711</v>
      </c>
      <c r="G18" s="169" t="s">
        <v>712</v>
      </c>
      <c r="H18" s="92"/>
    </row>
    <row r="19">
      <c r="A19" s="158">
        <v>4.0</v>
      </c>
      <c r="B19" s="180" t="s">
        <v>713</v>
      </c>
      <c r="C19" s="179">
        <v>46299.0</v>
      </c>
      <c r="D19" s="152" t="s">
        <v>469</v>
      </c>
      <c r="E19" s="152" t="s">
        <v>671</v>
      </c>
      <c r="F19" s="152" t="s">
        <v>714</v>
      </c>
      <c r="G19" s="181"/>
      <c r="H19" s="92"/>
    </row>
    <row r="20">
      <c r="A20" s="158">
        <v>5.0</v>
      </c>
      <c r="B20" s="180" t="s">
        <v>715</v>
      </c>
      <c r="C20" s="160">
        <v>46296.0</v>
      </c>
      <c r="D20" s="152" t="s">
        <v>671</v>
      </c>
      <c r="E20" s="152" t="s">
        <v>716</v>
      </c>
      <c r="F20" s="152" t="s">
        <v>717</v>
      </c>
      <c r="G20" s="180" t="s">
        <v>718</v>
      </c>
      <c r="H20" s="92"/>
    </row>
    <row r="21">
      <c r="A21" s="158"/>
      <c r="B21" s="180" t="s">
        <v>719</v>
      </c>
      <c r="C21" s="160"/>
      <c r="D21" s="152"/>
      <c r="E21" s="152"/>
      <c r="F21" s="152"/>
      <c r="G21" s="180"/>
      <c r="H21" s="92"/>
    </row>
    <row r="22">
      <c r="A22" s="158"/>
      <c r="B22" s="180" t="s">
        <v>720</v>
      </c>
      <c r="C22" s="160">
        <v>46298.0</v>
      </c>
      <c r="D22" s="152"/>
      <c r="E22" s="152" t="s">
        <v>721</v>
      </c>
      <c r="F22" s="152"/>
      <c r="G22" s="180"/>
      <c r="H22" s="92"/>
    </row>
    <row r="23">
      <c r="A23" s="158"/>
      <c r="B23" s="180"/>
      <c r="C23" s="160"/>
      <c r="D23" s="152"/>
      <c r="E23" s="152"/>
      <c r="F23" s="152"/>
      <c r="G23" s="180"/>
      <c r="H23" s="92"/>
    </row>
    <row r="24">
      <c r="A24" s="182" t="s">
        <v>722</v>
      </c>
      <c r="B24" s="183"/>
      <c r="C24" s="183"/>
      <c r="D24" s="183"/>
      <c r="E24" s="183"/>
      <c r="F24" s="183"/>
      <c r="G24" s="184"/>
      <c r="H24" s="92"/>
    </row>
    <row r="25">
      <c r="A25" s="158">
        <v>1.0</v>
      </c>
      <c r="B25" s="185" t="s">
        <v>723</v>
      </c>
      <c r="C25" s="158" t="s">
        <v>724</v>
      </c>
      <c r="D25" s="152" t="s">
        <v>671</v>
      </c>
      <c r="E25" s="152" t="s">
        <v>725</v>
      </c>
      <c r="F25" s="152" t="s">
        <v>726</v>
      </c>
      <c r="G25" s="180" t="s">
        <v>727</v>
      </c>
      <c r="H25" s="168" t="s">
        <v>728</v>
      </c>
    </row>
    <row r="26">
      <c r="A26" s="158">
        <v>1.1</v>
      </c>
      <c r="B26" s="186" t="s">
        <v>729</v>
      </c>
      <c r="C26" s="160">
        <v>46287.0</v>
      </c>
      <c r="D26" s="152" t="s">
        <v>671</v>
      </c>
      <c r="E26" s="152"/>
      <c r="F26" s="152"/>
      <c r="G26" s="180"/>
      <c r="H26" s="92"/>
    </row>
    <row r="27" ht="44.25" customHeight="1">
      <c r="A27" s="158">
        <v>1.2</v>
      </c>
      <c r="B27" s="185" t="s">
        <v>730</v>
      </c>
      <c r="C27" s="160">
        <v>46287.0</v>
      </c>
      <c r="D27" s="152" t="s">
        <v>671</v>
      </c>
      <c r="E27" s="152"/>
      <c r="F27" s="152"/>
      <c r="G27" s="180"/>
      <c r="H27" s="92"/>
    </row>
    <row r="28" ht="39.0" customHeight="1">
      <c r="A28" s="158">
        <v>1.3</v>
      </c>
      <c r="B28" s="186" t="s">
        <v>731</v>
      </c>
      <c r="C28" s="160"/>
      <c r="D28" s="152" t="s">
        <v>671</v>
      </c>
      <c r="E28" s="152"/>
      <c r="F28" s="152" t="s">
        <v>732</v>
      </c>
      <c r="G28" s="180" t="s">
        <v>733</v>
      </c>
      <c r="H28" s="92"/>
    </row>
    <row r="29">
      <c r="A29" s="158">
        <v>1.4</v>
      </c>
      <c r="B29" s="186" t="s">
        <v>734</v>
      </c>
      <c r="C29" s="160"/>
      <c r="D29" s="152" t="s">
        <v>671</v>
      </c>
      <c r="E29" s="152"/>
      <c r="F29" s="152"/>
      <c r="G29" s="180"/>
      <c r="H29" s="92"/>
    </row>
    <row r="30">
      <c r="A30" s="158">
        <f t="shared" ref="A30:A31" si="1">A25+1</f>
        <v>2</v>
      </c>
      <c r="B30" s="186" t="s">
        <v>735</v>
      </c>
      <c r="C30" s="160">
        <v>46298.0</v>
      </c>
      <c r="D30" s="152" t="s">
        <v>671</v>
      </c>
      <c r="E30" s="152" t="s">
        <v>736</v>
      </c>
      <c r="F30" s="152" t="s">
        <v>737</v>
      </c>
      <c r="G30" s="180" t="s">
        <v>738</v>
      </c>
      <c r="H30" s="92"/>
    </row>
    <row r="31">
      <c r="A31" s="158">
        <f t="shared" si="1"/>
        <v>2.1</v>
      </c>
      <c r="B31" s="180" t="s">
        <v>739</v>
      </c>
      <c r="C31" s="160">
        <v>46300.0</v>
      </c>
      <c r="D31" s="152" t="s">
        <v>671</v>
      </c>
      <c r="E31" s="152" t="s">
        <v>740</v>
      </c>
      <c r="F31" s="152"/>
      <c r="G31" s="187" t="s">
        <v>741</v>
      </c>
      <c r="H31" s="92"/>
    </row>
    <row r="32">
      <c r="A32" s="158">
        <v>3.0</v>
      </c>
      <c r="B32" s="180" t="s">
        <v>742</v>
      </c>
      <c r="C32" s="160">
        <v>46296.0</v>
      </c>
      <c r="D32" s="152" t="s">
        <v>671</v>
      </c>
      <c r="E32" s="152" t="s">
        <v>743</v>
      </c>
      <c r="F32" s="152" t="s">
        <v>674</v>
      </c>
      <c r="G32" s="187" t="s">
        <v>744</v>
      </c>
      <c r="H32" s="92"/>
    </row>
    <row r="33">
      <c r="A33" s="158">
        <f t="shared" ref="A33:A38" si="2">A32+1</f>
        <v>4</v>
      </c>
      <c r="B33" s="180" t="s">
        <v>745</v>
      </c>
      <c r="C33" s="160">
        <v>46296.0</v>
      </c>
      <c r="D33" s="152" t="s">
        <v>671</v>
      </c>
      <c r="E33" s="152" t="s">
        <v>746</v>
      </c>
      <c r="F33" s="152" t="s">
        <v>747</v>
      </c>
      <c r="G33" s="188" t="s">
        <v>748</v>
      </c>
      <c r="H33" s="92"/>
    </row>
    <row r="34">
      <c r="A34" s="158">
        <f t="shared" si="2"/>
        <v>5</v>
      </c>
      <c r="B34" s="169" t="s">
        <v>749</v>
      </c>
      <c r="C34" s="165">
        <v>46297.0</v>
      </c>
      <c r="D34" s="166" t="s">
        <v>750</v>
      </c>
      <c r="E34" s="166" t="s">
        <v>671</v>
      </c>
      <c r="F34" s="166" t="s">
        <v>751</v>
      </c>
      <c r="G34" s="189"/>
      <c r="H34" s="92"/>
    </row>
    <row r="35">
      <c r="A35" s="158">
        <f t="shared" si="2"/>
        <v>6</v>
      </c>
      <c r="B35" s="180" t="s">
        <v>752</v>
      </c>
      <c r="C35" s="160">
        <v>46299.0</v>
      </c>
      <c r="D35" s="152" t="s">
        <v>671</v>
      </c>
      <c r="E35" s="152" t="s">
        <v>753</v>
      </c>
      <c r="F35" s="152" t="s">
        <v>42</v>
      </c>
      <c r="G35" s="180" t="s">
        <v>754</v>
      </c>
      <c r="H35" s="84" t="s">
        <v>755</v>
      </c>
    </row>
    <row r="36">
      <c r="A36" s="158">
        <f t="shared" si="2"/>
        <v>7</v>
      </c>
      <c r="B36" s="180" t="s">
        <v>756</v>
      </c>
      <c r="C36" s="160">
        <v>46299.0</v>
      </c>
      <c r="D36" s="152" t="s">
        <v>671</v>
      </c>
      <c r="E36" s="152" t="s">
        <v>753</v>
      </c>
      <c r="F36" s="152" t="s">
        <v>757</v>
      </c>
      <c r="G36" s="180" t="s">
        <v>758</v>
      </c>
      <c r="H36" s="92"/>
    </row>
    <row r="37">
      <c r="A37" s="158">
        <f t="shared" si="2"/>
        <v>8</v>
      </c>
      <c r="B37" s="180" t="s">
        <v>759</v>
      </c>
      <c r="C37" s="160">
        <v>46299.0</v>
      </c>
      <c r="D37" s="152" t="s">
        <v>760</v>
      </c>
      <c r="E37" s="152" t="s">
        <v>761</v>
      </c>
      <c r="F37" s="152" t="s">
        <v>762</v>
      </c>
      <c r="G37" s="190" t="s">
        <v>763</v>
      </c>
      <c r="H37" s="92"/>
    </row>
    <row r="38">
      <c r="A38" s="158">
        <f t="shared" si="2"/>
        <v>9</v>
      </c>
      <c r="B38" s="180" t="s">
        <v>764</v>
      </c>
      <c r="C38" s="160">
        <v>46297.0</v>
      </c>
      <c r="D38" s="152" t="s">
        <v>671</v>
      </c>
      <c r="E38" s="152" t="s">
        <v>746</v>
      </c>
      <c r="F38" s="152" t="s">
        <v>765</v>
      </c>
      <c r="G38" s="180" t="s">
        <v>766</v>
      </c>
      <c r="H38" s="92"/>
    </row>
    <row r="39">
      <c r="A39" s="158"/>
      <c r="B39" s="180" t="s">
        <v>767</v>
      </c>
      <c r="C39" s="160"/>
      <c r="D39" s="152" t="s">
        <v>671</v>
      </c>
      <c r="E39" s="152"/>
      <c r="F39" s="152" t="s">
        <v>768</v>
      </c>
      <c r="G39" s="180" t="s">
        <v>769</v>
      </c>
      <c r="H39" s="84"/>
    </row>
    <row r="40">
      <c r="A40" s="158">
        <f>A38+1</f>
        <v>10</v>
      </c>
      <c r="B40" s="180" t="s">
        <v>770</v>
      </c>
      <c r="C40" s="160">
        <v>46298.0</v>
      </c>
      <c r="D40" s="152" t="s">
        <v>671</v>
      </c>
      <c r="E40" s="152"/>
      <c r="F40" s="152" t="s">
        <v>771</v>
      </c>
      <c r="G40" s="180" t="s">
        <v>772</v>
      </c>
      <c r="H40" s="84"/>
    </row>
    <row r="41">
      <c r="A41" s="158">
        <f t="shared" ref="A41:A51" si="3">A40+1</f>
        <v>11</v>
      </c>
      <c r="B41" s="180" t="s">
        <v>773</v>
      </c>
      <c r="C41" s="160">
        <v>46291.0</v>
      </c>
      <c r="D41" s="152" t="s">
        <v>678</v>
      </c>
      <c r="E41" s="152" t="s">
        <v>774</v>
      </c>
      <c r="F41" s="152" t="s">
        <v>775</v>
      </c>
      <c r="G41" s="180" t="s">
        <v>776</v>
      </c>
      <c r="H41" s="168" t="s">
        <v>777</v>
      </c>
    </row>
    <row r="42">
      <c r="A42" s="158">
        <f t="shared" si="3"/>
        <v>12</v>
      </c>
      <c r="B42" s="180" t="s">
        <v>778</v>
      </c>
      <c r="C42" s="160">
        <v>46297.0</v>
      </c>
      <c r="D42" s="152" t="s">
        <v>671</v>
      </c>
      <c r="E42" s="152" t="s">
        <v>746</v>
      </c>
      <c r="F42" s="152" t="s">
        <v>779</v>
      </c>
      <c r="G42" s="180" t="s">
        <v>780</v>
      </c>
      <c r="H42" s="92"/>
    </row>
    <row r="43">
      <c r="A43" s="158">
        <f t="shared" si="3"/>
        <v>13</v>
      </c>
      <c r="B43" s="180" t="s">
        <v>781</v>
      </c>
      <c r="C43" s="160">
        <v>46297.0</v>
      </c>
      <c r="D43" s="152" t="s">
        <v>746</v>
      </c>
      <c r="E43" s="152" t="s">
        <v>671</v>
      </c>
      <c r="F43" s="152" t="s">
        <v>782</v>
      </c>
      <c r="G43" s="180" t="s">
        <v>783</v>
      </c>
      <c r="H43" s="92"/>
    </row>
    <row r="44">
      <c r="A44" s="158">
        <f t="shared" si="3"/>
        <v>14</v>
      </c>
      <c r="B44" s="169" t="s">
        <v>784</v>
      </c>
      <c r="C44" s="165">
        <v>46291.0</v>
      </c>
      <c r="D44" s="166" t="s">
        <v>746</v>
      </c>
      <c r="E44" s="166" t="s">
        <v>671</v>
      </c>
      <c r="F44" s="166" t="s">
        <v>785</v>
      </c>
      <c r="G44" s="169" t="s">
        <v>786</v>
      </c>
      <c r="H44" s="92"/>
    </row>
    <row r="45">
      <c r="A45" s="158">
        <f t="shared" si="3"/>
        <v>15</v>
      </c>
      <c r="B45" s="180" t="s">
        <v>787</v>
      </c>
      <c r="C45" s="160">
        <v>46289.0</v>
      </c>
      <c r="D45" s="152" t="s">
        <v>678</v>
      </c>
      <c r="E45" s="152" t="s">
        <v>671</v>
      </c>
      <c r="F45" s="152" t="s">
        <v>788</v>
      </c>
      <c r="G45" s="180" t="s">
        <v>789</v>
      </c>
      <c r="H45" s="168" t="s">
        <v>790</v>
      </c>
    </row>
    <row r="46">
      <c r="A46" s="158">
        <f t="shared" si="3"/>
        <v>16</v>
      </c>
      <c r="B46" s="180" t="s">
        <v>791</v>
      </c>
      <c r="C46" s="158" t="s">
        <v>792</v>
      </c>
      <c r="D46" s="152" t="s">
        <v>793</v>
      </c>
      <c r="E46" s="152" t="s">
        <v>671</v>
      </c>
      <c r="F46" s="152" t="s">
        <v>794</v>
      </c>
      <c r="G46" s="191" t="s">
        <v>795</v>
      </c>
      <c r="H46" s="168" t="s">
        <v>796</v>
      </c>
    </row>
    <row r="47">
      <c r="A47" s="158">
        <f t="shared" si="3"/>
        <v>17</v>
      </c>
      <c r="B47" s="180" t="s">
        <v>797</v>
      </c>
      <c r="C47" s="160">
        <v>46299.0</v>
      </c>
      <c r="D47" s="152" t="s">
        <v>671</v>
      </c>
      <c r="E47" s="152" t="s">
        <v>798</v>
      </c>
      <c r="F47" s="152" t="s">
        <v>751</v>
      </c>
      <c r="G47" s="180" t="s">
        <v>799</v>
      </c>
      <c r="H47" s="92"/>
    </row>
    <row r="48">
      <c r="A48" s="158">
        <f t="shared" si="3"/>
        <v>18</v>
      </c>
      <c r="B48" s="180" t="s">
        <v>800</v>
      </c>
      <c r="C48" s="160">
        <v>46299.0</v>
      </c>
      <c r="D48" s="152" t="s">
        <v>801</v>
      </c>
      <c r="E48" s="152" t="s">
        <v>802</v>
      </c>
      <c r="F48" s="152" t="s">
        <v>803</v>
      </c>
      <c r="G48" s="180" t="s">
        <v>804</v>
      </c>
      <c r="H48" s="92"/>
    </row>
    <row r="49">
      <c r="A49" s="158">
        <f t="shared" si="3"/>
        <v>19</v>
      </c>
      <c r="B49" s="192" t="s">
        <v>805</v>
      </c>
      <c r="C49" s="193">
        <v>46299.0</v>
      </c>
      <c r="D49" s="194" t="s">
        <v>671</v>
      </c>
      <c r="E49" s="194" t="s">
        <v>806</v>
      </c>
      <c r="F49" s="194" t="s">
        <v>807</v>
      </c>
      <c r="G49" s="195"/>
      <c r="H49" s="92"/>
    </row>
    <row r="50">
      <c r="A50" s="158">
        <f t="shared" si="3"/>
        <v>20</v>
      </c>
      <c r="B50" s="196" t="s">
        <v>808</v>
      </c>
      <c r="C50" s="197"/>
      <c r="D50" s="198" t="s">
        <v>809</v>
      </c>
      <c r="E50" s="197"/>
      <c r="F50" s="197"/>
      <c r="G50" s="197"/>
      <c r="H50" s="92"/>
    </row>
    <row r="51">
      <c r="A51" s="158">
        <f t="shared" si="3"/>
        <v>21</v>
      </c>
      <c r="B51" s="196" t="s">
        <v>810</v>
      </c>
      <c r="C51" s="197"/>
      <c r="D51" s="198" t="s">
        <v>809</v>
      </c>
      <c r="E51" s="197"/>
      <c r="F51" s="197"/>
      <c r="G51" s="197"/>
      <c r="H51" s="92"/>
    </row>
    <row r="52">
      <c r="A52" s="199" t="s">
        <v>811</v>
      </c>
      <c r="B52" s="200" t="s">
        <v>812</v>
      </c>
      <c r="C52" s="197"/>
      <c r="D52" s="201"/>
      <c r="E52" s="197"/>
      <c r="F52" s="197"/>
      <c r="G52" s="197"/>
      <c r="H52" s="92"/>
    </row>
    <row r="53">
      <c r="A53" s="202"/>
      <c r="B53" s="203"/>
      <c r="C53" s="204"/>
      <c r="D53" s="203"/>
      <c r="E53" s="205"/>
      <c r="F53" s="205"/>
      <c r="G53" s="203"/>
      <c r="H53" s="92"/>
    </row>
    <row r="54">
      <c r="A54" s="202"/>
      <c r="B54" s="203"/>
      <c r="C54" s="204"/>
      <c r="D54" s="203"/>
      <c r="E54" s="205"/>
      <c r="F54" s="205"/>
      <c r="G54" s="203"/>
      <c r="H54" s="92"/>
    </row>
    <row r="55">
      <c r="A55" s="202"/>
      <c r="B55" s="203"/>
      <c r="C55" s="204"/>
      <c r="D55" s="203"/>
      <c r="E55" s="205"/>
      <c r="F55" s="205"/>
      <c r="G55" s="203"/>
      <c r="H55" s="92"/>
    </row>
    <row r="56">
      <c r="A56" s="202">
        <v>1.0</v>
      </c>
      <c r="B56" s="203" t="s">
        <v>813</v>
      </c>
      <c r="C56" s="204">
        <v>46299.0</v>
      </c>
      <c r="D56" s="203" t="s">
        <v>671</v>
      </c>
      <c r="E56" s="205" t="s">
        <v>806</v>
      </c>
      <c r="F56" s="205" t="s">
        <v>814</v>
      </c>
      <c r="G56" s="203" t="s">
        <v>815</v>
      </c>
      <c r="H56" s="92"/>
    </row>
    <row r="57">
      <c r="A57" s="202">
        <v>2.0</v>
      </c>
      <c r="B57" s="203" t="s">
        <v>816</v>
      </c>
      <c r="C57" s="204">
        <v>46299.0</v>
      </c>
      <c r="D57" s="203" t="s">
        <v>817</v>
      </c>
      <c r="E57" s="205" t="s">
        <v>818</v>
      </c>
      <c r="F57" s="205" t="s">
        <v>674</v>
      </c>
      <c r="G57" s="203" t="s">
        <v>815</v>
      </c>
      <c r="H57" s="92"/>
    </row>
    <row r="58">
      <c r="A58" s="206"/>
      <c r="B58" s="203" t="s">
        <v>819</v>
      </c>
      <c r="C58" s="207"/>
      <c r="D58" s="207"/>
      <c r="E58" s="208" t="s">
        <v>820</v>
      </c>
      <c r="F58" s="209"/>
      <c r="G58" s="210" t="s">
        <v>821</v>
      </c>
      <c r="H58" s="103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>
      <c r="A59" s="206"/>
      <c r="B59" s="1" t="s">
        <v>822</v>
      </c>
      <c r="C59" s="207"/>
      <c r="D59" s="208" t="s">
        <v>751</v>
      </c>
      <c r="E59" s="207"/>
      <c r="F59" s="209"/>
      <c r="G59" s="209"/>
      <c r="H59" s="103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>
      <c r="A60" s="206"/>
      <c r="B60" s="203" t="s">
        <v>823</v>
      </c>
      <c r="C60" s="207"/>
      <c r="D60" s="207"/>
      <c r="E60" s="207"/>
      <c r="F60" s="209"/>
      <c r="G60" s="209"/>
      <c r="H60" s="103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>
      <c r="A61" s="211" t="s">
        <v>824</v>
      </c>
      <c r="B61" s="212" t="s">
        <v>825</v>
      </c>
      <c r="C61" s="207"/>
      <c r="D61" s="213"/>
      <c r="E61" s="213"/>
      <c r="F61" s="209"/>
      <c r="G61" s="209"/>
      <c r="H61" s="92"/>
    </row>
    <row r="62">
      <c r="A62" s="202">
        <v>1.0</v>
      </c>
      <c r="B62" s="203" t="s">
        <v>826</v>
      </c>
      <c r="C62" s="204">
        <v>46298.0</v>
      </c>
      <c r="D62" s="203" t="s">
        <v>671</v>
      </c>
      <c r="E62" s="205" t="s">
        <v>827</v>
      </c>
      <c r="F62" s="205" t="s">
        <v>760</v>
      </c>
      <c r="G62" s="210" t="s">
        <v>828</v>
      </c>
      <c r="H62" s="92"/>
    </row>
    <row r="63">
      <c r="A63" s="214">
        <v>2.0</v>
      </c>
      <c r="B63" s="215" t="s">
        <v>829</v>
      </c>
      <c r="C63" s="216" t="s">
        <v>830</v>
      </c>
      <c r="D63" s="192" t="s">
        <v>671</v>
      </c>
      <c r="E63" s="215" t="s">
        <v>831</v>
      </c>
      <c r="F63" s="215" t="s">
        <v>674</v>
      </c>
      <c r="G63" s="192" t="s">
        <v>832</v>
      </c>
      <c r="H63" s="168" t="s">
        <v>833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8.0" topLeftCell="E9" activePane="bottomRight" state="frozen"/>
      <selection activeCell="E1" sqref="E1" pane="topRight"/>
      <selection activeCell="A9" sqref="A9" pane="bottomLeft"/>
      <selection activeCell="E9" sqref="E9" pane="bottomRight"/>
    </sheetView>
  </sheetViews>
  <sheetFormatPr customHeight="1" defaultColWidth="12.63" defaultRowHeight="15.75"/>
  <cols>
    <col customWidth="1" min="1" max="1" width="3.25"/>
    <col customWidth="1" min="2" max="2" width="5.75"/>
    <col customWidth="1" min="3" max="3" width="13.25"/>
    <col customWidth="1" min="4" max="4" width="23.88"/>
    <col customWidth="1" min="5" max="5" width="35.13"/>
    <col customWidth="1" min="6" max="6" width="31.5"/>
    <col customWidth="1" min="7" max="8" width="28.88"/>
    <col customWidth="1" min="9" max="9" width="26.38"/>
  </cols>
  <sheetData>
    <row r="2" ht="25.5" customHeight="1">
      <c r="B2" s="217" t="s">
        <v>834</v>
      </c>
      <c r="C2" s="217"/>
      <c r="D2" s="217"/>
      <c r="E2" s="217"/>
      <c r="F2" s="217"/>
      <c r="G2" s="217"/>
      <c r="H2" s="217"/>
      <c r="I2" s="217"/>
    </row>
    <row r="3" ht="16.5" customHeight="1">
      <c r="B3" s="218" t="s">
        <v>835</v>
      </c>
      <c r="C3" s="218"/>
      <c r="D3" s="218"/>
      <c r="E3" s="218"/>
      <c r="F3" s="218"/>
      <c r="G3" s="218"/>
      <c r="H3" s="218"/>
      <c r="I3" s="218"/>
    </row>
    <row r="4" ht="18.0" hidden="1" customHeight="1">
      <c r="B4" s="219" t="s">
        <v>836</v>
      </c>
      <c r="C4" s="220"/>
      <c r="D4" s="221" t="s">
        <v>837</v>
      </c>
      <c r="E4" s="220"/>
      <c r="F4" s="221" t="s">
        <v>838</v>
      </c>
      <c r="G4" s="220"/>
      <c r="H4" s="221" t="s">
        <v>839</v>
      </c>
      <c r="I4" s="222" t="s">
        <v>840</v>
      </c>
    </row>
    <row r="5" ht="32.25" hidden="1" customHeight="1">
      <c r="B5" s="223" t="s">
        <v>841</v>
      </c>
      <c r="C5" s="224"/>
      <c r="D5" s="225" t="s">
        <v>842</v>
      </c>
      <c r="E5" s="226"/>
      <c r="F5" s="225" t="s">
        <v>843</v>
      </c>
      <c r="G5" s="226"/>
      <c r="H5" s="225" t="s">
        <v>844</v>
      </c>
      <c r="I5" s="227" t="str">
        <f>COUNTIF(#REF!, TRUE)&amp;"/"&amp;COUNTA(B11:B30)&amp;" ("&amp;TEXT(IF(COUNTA(B11:B30)&gt;0, COUNTIF(#REF!, TRUE)/COUNTA(B11:B30), 0), "0%")&amp;")"</f>
        <v>0/17 (0%)</v>
      </c>
    </row>
    <row r="6" hidden="1"/>
    <row r="7" hidden="1"/>
    <row r="8" ht="27.0" customHeight="1">
      <c r="B8" s="228" t="s">
        <v>1</v>
      </c>
      <c r="C8" s="229" t="s">
        <v>59</v>
      </c>
      <c r="D8" s="229" t="s">
        <v>845</v>
      </c>
      <c r="E8" s="229" t="s">
        <v>846</v>
      </c>
      <c r="F8" s="229" t="s">
        <v>847</v>
      </c>
      <c r="G8" s="229" t="s">
        <v>848</v>
      </c>
      <c r="H8" s="229" t="s">
        <v>849</v>
      </c>
      <c r="I8" s="230" t="s">
        <v>850</v>
      </c>
      <c r="J8" s="1" t="s">
        <v>18</v>
      </c>
    </row>
    <row r="9" ht="150.0" customHeight="1">
      <c r="B9" s="231"/>
      <c r="C9" s="232" t="s">
        <v>851</v>
      </c>
      <c r="D9" s="233" t="s">
        <v>852</v>
      </c>
      <c r="E9" s="234" t="s">
        <v>853</v>
      </c>
      <c r="F9" s="234"/>
      <c r="G9" s="234" t="s">
        <v>854</v>
      </c>
      <c r="H9" s="235" t="s">
        <v>855</v>
      </c>
      <c r="I9" s="236"/>
      <c r="J9" s="2" t="s">
        <v>856</v>
      </c>
    </row>
    <row r="10">
      <c r="B10" s="231"/>
      <c r="C10" s="237">
        <v>0.71875</v>
      </c>
      <c r="D10" s="233" t="s">
        <v>857</v>
      </c>
      <c r="E10" s="234"/>
      <c r="F10" s="235" t="s">
        <v>858</v>
      </c>
      <c r="H10" s="234"/>
      <c r="I10" s="236"/>
    </row>
    <row r="11">
      <c r="B11" s="238">
        <v>1.0</v>
      </c>
      <c r="C11" s="239" t="s">
        <v>859</v>
      </c>
      <c r="D11" s="240" t="s">
        <v>860</v>
      </c>
      <c r="E11" s="241" t="s">
        <v>861</v>
      </c>
      <c r="F11" s="241" t="s">
        <v>862</v>
      </c>
      <c r="G11" s="242" t="s">
        <v>863</v>
      </c>
      <c r="H11" s="241" t="s">
        <v>864</v>
      </c>
      <c r="I11" s="243"/>
    </row>
    <row r="12" ht="56.25" customHeight="1">
      <c r="B12" s="244"/>
      <c r="C12" s="245">
        <v>0.7430555555555556</v>
      </c>
      <c r="D12" s="246" t="s">
        <v>865</v>
      </c>
      <c r="E12" s="247" t="s">
        <v>866</v>
      </c>
      <c r="F12" s="248" t="s">
        <v>867</v>
      </c>
      <c r="G12" s="247" t="s">
        <v>868</v>
      </c>
      <c r="H12" s="247" t="s">
        <v>869</v>
      </c>
      <c r="I12" s="243" t="s">
        <v>870</v>
      </c>
      <c r="J12" s="1" t="s">
        <v>871</v>
      </c>
    </row>
    <row r="13" ht="45.75" customHeight="1">
      <c r="B13" s="244"/>
      <c r="C13" s="245">
        <v>0.75</v>
      </c>
      <c r="D13" s="246" t="s">
        <v>872</v>
      </c>
      <c r="E13" s="247" t="s">
        <v>873</v>
      </c>
      <c r="F13" s="247"/>
      <c r="G13" s="247" t="s">
        <v>874</v>
      </c>
      <c r="H13" s="247"/>
      <c r="I13" s="249"/>
      <c r="J13" s="1" t="s">
        <v>875</v>
      </c>
    </row>
    <row r="14">
      <c r="B14" s="244">
        <v>2.0</v>
      </c>
      <c r="C14" s="250" t="s">
        <v>876</v>
      </c>
      <c r="D14" s="246" t="s">
        <v>877</v>
      </c>
      <c r="E14" s="247" t="s">
        <v>878</v>
      </c>
      <c r="F14" s="247" t="s">
        <v>879</v>
      </c>
      <c r="G14" s="248" t="s">
        <v>880</v>
      </c>
      <c r="H14" s="247"/>
      <c r="I14" s="249"/>
    </row>
    <row r="15">
      <c r="B15" s="238"/>
      <c r="C15" s="251">
        <v>0.7541666666666667</v>
      </c>
      <c r="D15" s="240"/>
      <c r="E15" s="241" t="s">
        <v>881</v>
      </c>
      <c r="F15" s="241" t="s">
        <v>882</v>
      </c>
      <c r="G15" s="242" t="s">
        <v>883</v>
      </c>
      <c r="H15" s="241"/>
      <c r="I15" s="243"/>
    </row>
    <row r="16" ht="78.75" customHeight="1">
      <c r="B16" s="238">
        <v>3.0</v>
      </c>
      <c r="C16" s="239" t="s">
        <v>884</v>
      </c>
      <c r="D16" s="240" t="s">
        <v>468</v>
      </c>
      <c r="E16" s="241" t="s">
        <v>885</v>
      </c>
      <c r="F16" s="241" t="s">
        <v>42</v>
      </c>
      <c r="G16" s="241" t="s">
        <v>886</v>
      </c>
      <c r="H16" s="241" t="s">
        <v>887</v>
      </c>
      <c r="I16" s="243"/>
    </row>
    <row r="17">
      <c r="B17" s="244">
        <v>4.0</v>
      </c>
      <c r="C17" s="250" t="s">
        <v>888</v>
      </c>
      <c r="D17" s="246" t="s">
        <v>889</v>
      </c>
      <c r="E17" s="247" t="s">
        <v>890</v>
      </c>
      <c r="F17" s="247"/>
      <c r="G17" s="247" t="s">
        <v>891</v>
      </c>
      <c r="H17" s="247"/>
      <c r="I17" s="249"/>
    </row>
    <row r="18">
      <c r="B18" s="238">
        <v>5.0</v>
      </c>
      <c r="C18" s="239" t="s">
        <v>892</v>
      </c>
      <c r="D18" s="240" t="s">
        <v>475</v>
      </c>
      <c r="E18" s="241" t="s">
        <v>893</v>
      </c>
      <c r="F18" s="241" t="s">
        <v>267</v>
      </c>
      <c r="G18" s="242" t="s">
        <v>894</v>
      </c>
      <c r="H18" s="241"/>
      <c r="I18" s="243" t="s">
        <v>895</v>
      </c>
    </row>
    <row r="19">
      <c r="B19" s="244">
        <v>6.0</v>
      </c>
      <c r="C19" s="250" t="s">
        <v>896</v>
      </c>
      <c r="D19" s="246" t="s">
        <v>897</v>
      </c>
      <c r="E19" s="247" t="s">
        <v>898</v>
      </c>
      <c r="F19" s="247" t="s">
        <v>899</v>
      </c>
      <c r="G19" s="248" t="s">
        <v>900</v>
      </c>
      <c r="H19" s="247" t="s">
        <v>901</v>
      </c>
      <c r="I19" s="249" t="s">
        <v>902</v>
      </c>
      <c r="J19" s="1" t="s">
        <v>903</v>
      </c>
    </row>
    <row r="20">
      <c r="B20" s="238">
        <v>7.0</v>
      </c>
      <c r="C20" s="239" t="s">
        <v>904</v>
      </c>
      <c r="D20" s="240" t="s">
        <v>905</v>
      </c>
      <c r="E20" s="241" t="s">
        <v>906</v>
      </c>
      <c r="F20" s="242" t="s">
        <v>907</v>
      </c>
      <c r="G20" s="242" t="s">
        <v>908</v>
      </c>
      <c r="H20" s="241"/>
      <c r="I20" s="243" t="s">
        <v>909</v>
      </c>
      <c r="J20" s="2" t="s">
        <v>910</v>
      </c>
    </row>
    <row r="21">
      <c r="B21" s="244">
        <v>8.0</v>
      </c>
      <c r="C21" s="250" t="s">
        <v>911</v>
      </c>
      <c r="D21" s="246" t="s">
        <v>912</v>
      </c>
      <c r="E21" s="247" t="s">
        <v>913</v>
      </c>
      <c r="F21" s="247" t="s">
        <v>914</v>
      </c>
      <c r="G21" s="248" t="s">
        <v>915</v>
      </c>
      <c r="H21" s="247" t="s">
        <v>916</v>
      </c>
      <c r="I21" s="249" t="s">
        <v>917</v>
      </c>
    </row>
    <row r="22">
      <c r="B22" s="238">
        <v>9.0</v>
      </c>
      <c r="C22" s="239" t="s">
        <v>489</v>
      </c>
      <c r="D22" s="240" t="s">
        <v>918</v>
      </c>
      <c r="E22" s="241" t="s">
        <v>919</v>
      </c>
      <c r="F22" s="241" t="s">
        <v>920</v>
      </c>
      <c r="G22" s="242" t="s">
        <v>921</v>
      </c>
      <c r="H22" s="241" t="s">
        <v>922</v>
      </c>
      <c r="I22" s="243" t="s">
        <v>923</v>
      </c>
    </row>
    <row r="23">
      <c r="B23" s="244">
        <v>10.0</v>
      </c>
      <c r="C23" s="250" t="s">
        <v>492</v>
      </c>
      <c r="D23" s="246" t="s">
        <v>924</v>
      </c>
      <c r="E23" s="247" t="s">
        <v>925</v>
      </c>
      <c r="F23" s="247" t="s">
        <v>926</v>
      </c>
      <c r="G23" s="247" t="s">
        <v>927</v>
      </c>
      <c r="H23" s="248" t="s">
        <v>928</v>
      </c>
      <c r="I23" s="249" t="s">
        <v>929</v>
      </c>
    </row>
    <row r="24">
      <c r="B24" s="238">
        <v>11.0</v>
      </c>
      <c r="C24" s="239" t="s">
        <v>496</v>
      </c>
      <c r="D24" s="240" t="s">
        <v>930</v>
      </c>
      <c r="E24" s="241" t="s">
        <v>931</v>
      </c>
      <c r="F24" s="241" t="s">
        <v>932</v>
      </c>
      <c r="G24" s="241" t="s">
        <v>933</v>
      </c>
      <c r="H24" s="242" t="s">
        <v>934</v>
      </c>
      <c r="I24" s="243" t="s">
        <v>935</v>
      </c>
    </row>
    <row r="25">
      <c r="B25" s="244">
        <v>12.0</v>
      </c>
      <c r="C25" s="250" t="s">
        <v>500</v>
      </c>
      <c r="D25" s="246" t="s">
        <v>936</v>
      </c>
      <c r="E25" s="247" t="s">
        <v>937</v>
      </c>
      <c r="F25" s="247" t="s">
        <v>938</v>
      </c>
      <c r="G25" s="247" t="s">
        <v>939</v>
      </c>
      <c r="H25" s="247" t="s">
        <v>940</v>
      </c>
      <c r="I25" s="249" t="s">
        <v>941</v>
      </c>
    </row>
    <row r="26">
      <c r="B26" s="238">
        <v>13.0</v>
      </c>
      <c r="C26" s="239" t="s">
        <v>942</v>
      </c>
      <c r="D26" s="240" t="s">
        <v>943</v>
      </c>
      <c r="E26" s="241" t="s">
        <v>944</v>
      </c>
      <c r="F26" s="241" t="s">
        <v>945</v>
      </c>
      <c r="G26" s="241" t="s">
        <v>946</v>
      </c>
      <c r="H26" s="241" t="s">
        <v>947</v>
      </c>
      <c r="I26" s="243" t="s">
        <v>948</v>
      </c>
    </row>
    <row r="27">
      <c r="B27" s="244">
        <v>14.0</v>
      </c>
      <c r="C27" s="250" t="s">
        <v>949</v>
      </c>
      <c r="D27" s="246" t="s">
        <v>950</v>
      </c>
      <c r="E27" s="247" t="s">
        <v>951</v>
      </c>
      <c r="F27" s="247" t="s">
        <v>952</v>
      </c>
      <c r="G27" s="247" t="s">
        <v>953</v>
      </c>
      <c r="H27" s="247" t="s">
        <v>954</v>
      </c>
      <c r="I27" s="249" t="s">
        <v>955</v>
      </c>
    </row>
    <row r="28">
      <c r="B28" s="238">
        <v>15.0</v>
      </c>
      <c r="C28" s="239" t="s">
        <v>509</v>
      </c>
      <c r="D28" s="240" t="s">
        <v>956</v>
      </c>
      <c r="E28" s="241" t="s">
        <v>957</v>
      </c>
      <c r="F28" s="242" t="s">
        <v>958</v>
      </c>
      <c r="G28" s="241" t="s">
        <v>959</v>
      </c>
      <c r="H28" s="241" t="s">
        <v>960</v>
      </c>
      <c r="I28" s="243" t="s">
        <v>961</v>
      </c>
    </row>
    <row r="29">
      <c r="B29" s="238">
        <v>17.0</v>
      </c>
      <c r="C29" s="239" t="s">
        <v>962</v>
      </c>
      <c r="D29" s="240" t="s">
        <v>963</v>
      </c>
      <c r="E29" s="241" t="s">
        <v>964</v>
      </c>
      <c r="F29" s="241" t="s">
        <v>965</v>
      </c>
      <c r="G29" s="241" t="s">
        <v>966</v>
      </c>
      <c r="H29" s="241" t="s">
        <v>967</v>
      </c>
      <c r="I29" s="243" t="s">
        <v>968</v>
      </c>
    </row>
    <row r="30">
      <c r="B30" s="244">
        <v>18.0</v>
      </c>
      <c r="C30" s="250" t="s">
        <v>969</v>
      </c>
      <c r="D30" s="246" t="s">
        <v>970</v>
      </c>
      <c r="E30" s="247" t="s">
        <v>971</v>
      </c>
      <c r="F30" s="247" t="s">
        <v>972</v>
      </c>
      <c r="G30" s="247" t="s">
        <v>973</v>
      </c>
      <c r="H30" s="247" t="s">
        <v>974</v>
      </c>
      <c r="I30" s="249" t="s">
        <v>975</v>
      </c>
    </row>
    <row r="31">
      <c r="B31" s="252" t="s">
        <v>976</v>
      </c>
      <c r="C31" s="253" t="s">
        <v>977</v>
      </c>
      <c r="D31" s="254" t="s">
        <v>978</v>
      </c>
      <c r="E31" s="254" t="s">
        <v>979</v>
      </c>
      <c r="F31" s="254" t="s">
        <v>980</v>
      </c>
      <c r="G31" s="254" t="s">
        <v>981</v>
      </c>
      <c r="H31" s="254" t="s">
        <v>982</v>
      </c>
      <c r="I31" s="255" t="s">
        <v>983</v>
      </c>
    </row>
  </sheetData>
  <conditionalFormatting sqref="B9:I30">
    <cfRule type="expression" dxfId="0" priority="1" stopIfTrue="1">
      <formula>#REF!=TRUE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6.38"/>
    <col customWidth="1" min="2" max="2" width="9.38"/>
    <col customWidth="1" min="3" max="3" width="21.25"/>
    <col customWidth="1" min="4" max="4" width="19.88"/>
    <col customWidth="1" min="5" max="6" width="21.25"/>
    <col customWidth="1" min="10" max="10" width="25.38"/>
  </cols>
  <sheetData>
    <row r="1">
      <c r="A1" s="1" t="s">
        <v>984</v>
      </c>
    </row>
    <row r="4">
      <c r="A4" s="256" t="s">
        <v>1</v>
      </c>
      <c r="B4" s="256" t="s">
        <v>95</v>
      </c>
      <c r="C4" s="256" t="s">
        <v>96</v>
      </c>
      <c r="D4" s="256" t="s">
        <v>97</v>
      </c>
      <c r="E4" s="256" t="s">
        <v>98</v>
      </c>
      <c r="F4" s="256" t="s">
        <v>99</v>
      </c>
      <c r="G4" s="256" t="s">
        <v>985</v>
      </c>
      <c r="H4" s="256" t="s">
        <v>986</v>
      </c>
      <c r="I4" s="256" t="s">
        <v>987</v>
      </c>
      <c r="J4" s="256" t="s">
        <v>988</v>
      </c>
      <c r="K4" s="256" t="s">
        <v>989</v>
      </c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</row>
    <row r="5">
      <c r="A5" s="258">
        <v>1.0</v>
      </c>
      <c r="B5" s="259" t="s">
        <v>148</v>
      </c>
      <c r="C5" s="260" t="s">
        <v>149</v>
      </c>
      <c r="D5" s="260" t="s">
        <v>144</v>
      </c>
      <c r="E5" s="260" t="s">
        <v>145</v>
      </c>
      <c r="F5" s="260" t="s">
        <v>150</v>
      </c>
      <c r="G5" s="261">
        <v>32753.0</v>
      </c>
      <c r="H5" s="262">
        <v>2.0</v>
      </c>
      <c r="I5" s="262">
        <v>9.0</v>
      </c>
      <c r="J5" s="263">
        <v>46113.0</v>
      </c>
      <c r="K5" s="92">
        <f>IFNA(VLOOKUP(B5,'Danh sách MASTER'!$B$3:$P$119,15,0),0)</f>
        <v>1</v>
      </c>
    </row>
    <row r="6">
      <c r="A6" s="258">
        <f t="shared" ref="A6:A23" si="1">A5+1</f>
        <v>2</v>
      </c>
      <c r="B6" s="259" t="s">
        <v>268</v>
      </c>
      <c r="C6" s="260" t="s">
        <v>269</v>
      </c>
      <c r="D6" s="260" t="s">
        <v>126</v>
      </c>
      <c r="E6" s="260" t="s">
        <v>127</v>
      </c>
      <c r="F6" s="260" t="s">
        <v>128</v>
      </c>
      <c r="G6" s="263">
        <v>29841.0</v>
      </c>
      <c r="H6" s="262">
        <v>12.0</v>
      </c>
      <c r="I6" s="262">
        <v>9.0</v>
      </c>
      <c r="J6" s="264">
        <v>45964.0</v>
      </c>
      <c r="K6" s="92">
        <f>IFNA(VLOOKUP(B6,'Danh sách MASTER'!$B$3:$P$119,15,0),0)</f>
        <v>1</v>
      </c>
    </row>
    <row r="7">
      <c r="A7" s="258">
        <f t="shared" si="1"/>
        <v>3</v>
      </c>
      <c r="B7" s="259" t="s">
        <v>177</v>
      </c>
      <c r="C7" s="260" t="s">
        <v>178</v>
      </c>
      <c r="D7" s="260" t="s">
        <v>165</v>
      </c>
      <c r="E7" s="260" t="s">
        <v>179</v>
      </c>
      <c r="F7" s="260" t="s">
        <v>180</v>
      </c>
      <c r="G7" s="261">
        <v>32768.0</v>
      </c>
      <c r="H7" s="262">
        <v>17.0</v>
      </c>
      <c r="I7" s="262">
        <v>9.0</v>
      </c>
      <c r="J7" s="263">
        <v>45962.0</v>
      </c>
      <c r="K7" s="92" t="str">
        <f>IFNA(VLOOKUP(B7,'Danh sách MASTER'!$B$3:$P$119,15,0),0)</f>
        <v/>
      </c>
    </row>
    <row r="8">
      <c r="A8" s="258">
        <f t="shared" si="1"/>
        <v>4</v>
      </c>
      <c r="B8" s="259" t="s">
        <v>381</v>
      </c>
      <c r="C8" s="265" t="s">
        <v>382</v>
      </c>
      <c r="D8" s="260" t="s">
        <v>197</v>
      </c>
      <c r="E8" s="260" t="s">
        <v>205</v>
      </c>
      <c r="F8" s="260" t="s">
        <v>222</v>
      </c>
      <c r="G8" s="264">
        <v>36789.0</v>
      </c>
      <c r="H8" s="266">
        <v>20.0</v>
      </c>
      <c r="I8" s="266">
        <v>9.0</v>
      </c>
      <c r="J8" s="264">
        <v>45188.0</v>
      </c>
      <c r="K8" s="92" t="str">
        <f>IFNA(VLOOKUP(B8,'Danh sách MASTER'!$B$3:$P$119,15,0),0)</f>
        <v/>
      </c>
    </row>
    <row r="9">
      <c r="A9" s="258">
        <f t="shared" si="1"/>
        <v>5</v>
      </c>
      <c r="B9" s="259" t="s">
        <v>140</v>
      </c>
      <c r="C9" s="267" t="s">
        <v>141</v>
      </c>
      <c r="D9" s="260" t="s">
        <v>126</v>
      </c>
      <c r="E9" s="260" t="s">
        <v>126</v>
      </c>
      <c r="F9" s="260" t="s">
        <v>142</v>
      </c>
      <c r="G9" s="264">
        <v>35332.0</v>
      </c>
      <c r="H9" s="266">
        <v>24.0</v>
      </c>
      <c r="I9" s="266">
        <v>9.0</v>
      </c>
      <c r="J9" s="268">
        <v>45950.0</v>
      </c>
      <c r="K9" s="92">
        <f>IFNA(VLOOKUP(B9,'Danh sách MASTER'!$B$3:$P$119,15,0),0)</f>
        <v>1</v>
      </c>
    </row>
    <row r="10">
      <c r="A10" s="258">
        <f t="shared" si="1"/>
        <v>6</v>
      </c>
      <c r="B10" s="269">
        <v>109.0</v>
      </c>
      <c r="C10" s="267" t="s">
        <v>182</v>
      </c>
      <c r="D10" s="260" t="s">
        <v>165</v>
      </c>
      <c r="E10" s="260" t="s">
        <v>179</v>
      </c>
      <c r="F10" s="260" t="s">
        <v>180</v>
      </c>
      <c r="G10" s="261">
        <v>37525.0</v>
      </c>
      <c r="H10" s="266">
        <v>26.0</v>
      </c>
      <c r="I10" s="266">
        <v>9.0</v>
      </c>
      <c r="J10" s="263">
        <v>46167.0</v>
      </c>
      <c r="K10" s="92" t="str">
        <f>IFNA(VLOOKUP(B10,'Danh sách MASTER'!$B$3:$P$119,15,0),0)</f>
        <v/>
      </c>
    </row>
    <row r="11">
      <c r="A11" s="258">
        <f t="shared" si="1"/>
        <v>7</v>
      </c>
      <c r="B11" s="269">
        <v>141.0</v>
      </c>
      <c r="C11" s="260" t="s">
        <v>990</v>
      </c>
      <c r="D11" s="260" t="s">
        <v>197</v>
      </c>
      <c r="E11" s="260" t="s">
        <v>205</v>
      </c>
      <c r="F11" s="260" t="s">
        <v>206</v>
      </c>
      <c r="G11" s="264">
        <v>29126.0</v>
      </c>
      <c r="H11" s="266">
        <v>28.0</v>
      </c>
      <c r="I11" s="266">
        <v>9.0</v>
      </c>
      <c r="J11" s="263">
        <v>46287.0</v>
      </c>
      <c r="K11" s="92">
        <f>IFNA(VLOOKUP(B11,'Danh sách MASTER'!$B$3:$P$119,15,0),0)</f>
        <v>0</v>
      </c>
    </row>
    <row r="12">
      <c r="A12" s="258">
        <f t="shared" si="1"/>
        <v>8</v>
      </c>
      <c r="B12" s="259" t="s">
        <v>353</v>
      </c>
      <c r="C12" s="260" t="s">
        <v>354</v>
      </c>
      <c r="D12" s="260" t="s">
        <v>197</v>
      </c>
      <c r="E12" s="260" t="s">
        <v>198</v>
      </c>
      <c r="F12" s="260" t="s">
        <v>199</v>
      </c>
      <c r="G12" s="264">
        <v>35702.0</v>
      </c>
      <c r="H12" s="266">
        <v>29.0</v>
      </c>
      <c r="I12" s="266">
        <v>9.0</v>
      </c>
      <c r="J12" s="264">
        <v>45302.0</v>
      </c>
      <c r="K12" s="92" t="str">
        <f>IFNA(VLOOKUP(B12,'Danh sách MASTER'!$B$3:$P$119,15,0),0)</f>
        <v/>
      </c>
    </row>
    <row r="13">
      <c r="A13" s="258">
        <f t="shared" si="1"/>
        <v>9</v>
      </c>
      <c r="B13" s="259" t="s">
        <v>213</v>
      </c>
      <c r="C13" s="260" t="s">
        <v>214</v>
      </c>
      <c r="D13" s="260" t="s">
        <v>197</v>
      </c>
      <c r="E13" s="260" t="s">
        <v>205</v>
      </c>
      <c r="F13" s="260" t="s">
        <v>206</v>
      </c>
      <c r="G13" s="270">
        <v>37904.0</v>
      </c>
      <c r="H13" s="266">
        <v>10.0</v>
      </c>
      <c r="I13" s="266">
        <v>10.0</v>
      </c>
      <c r="J13" s="263">
        <v>46150.0</v>
      </c>
      <c r="K13" s="92" t="str">
        <f>IFNA(VLOOKUP(B13,'Danh sách MASTER'!$B$3:$P$119,15,0),0)</f>
        <v/>
      </c>
    </row>
    <row r="14">
      <c r="A14" s="258">
        <f t="shared" si="1"/>
        <v>10</v>
      </c>
      <c r="B14" s="259" t="s">
        <v>389</v>
      </c>
      <c r="C14" s="260" t="s">
        <v>390</v>
      </c>
      <c r="D14" s="260" t="s">
        <v>197</v>
      </c>
      <c r="E14" s="260" t="s">
        <v>127</v>
      </c>
      <c r="F14" s="260" t="s">
        <v>391</v>
      </c>
      <c r="G14" s="268">
        <v>32792.0</v>
      </c>
      <c r="H14" s="262">
        <v>11.0</v>
      </c>
      <c r="I14" s="262">
        <v>10.0</v>
      </c>
      <c r="J14" s="263">
        <v>45860.0</v>
      </c>
      <c r="K14" s="92" t="str">
        <f>IFNA(VLOOKUP(B14,'Danh sách MASTER'!$B$3:$P$119,15,0),0)</f>
        <v/>
      </c>
    </row>
    <row r="15">
      <c r="A15" s="258">
        <f t="shared" si="1"/>
        <v>11</v>
      </c>
      <c r="B15" s="269">
        <v>104.0</v>
      </c>
      <c r="C15" s="260" t="s">
        <v>285</v>
      </c>
      <c r="D15" s="260" t="s">
        <v>165</v>
      </c>
      <c r="E15" s="260" t="s">
        <v>286</v>
      </c>
      <c r="F15" s="260" t="s">
        <v>287</v>
      </c>
      <c r="G15" s="268">
        <v>37910.0</v>
      </c>
      <c r="H15" s="266">
        <v>16.0</v>
      </c>
      <c r="I15" s="266">
        <v>10.0</v>
      </c>
      <c r="J15" s="263">
        <v>46160.0</v>
      </c>
      <c r="K15" s="92">
        <f>IFNA(VLOOKUP(B15,'Danh sách MASTER'!$B$3:$P$119,15,0),0)</f>
        <v>1</v>
      </c>
    </row>
    <row r="16">
      <c r="A16" s="258">
        <f t="shared" si="1"/>
        <v>12</v>
      </c>
      <c r="B16" s="269">
        <v>129.0</v>
      </c>
      <c r="C16" s="260" t="s">
        <v>251</v>
      </c>
      <c r="D16" s="271" t="s">
        <v>197</v>
      </c>
      <c r="E16" s="271" t="s">
        <v>249</v>
      </c>
      <c r="F16" s="260" t="s">
        <v>250</v>
      </c>
      <c r="G16" s="272">
        <v>33894.0</v>
      </c>
      <c r="H16" s="266">
        <v>17.0</v>
      </c>
      <c r="I16" s="266">
        <v>10.0</v>
      </c>
      <c r="J16" s="263">
        <v>46230.0</v>
      </c>
      <c r="K16" s="92">
        <f>IFNA(VLOOKUP(B16,'Danh sách MASTER'!$B$3:$P$119,15,0),0)</f>
        <v>1</v>
      </c>
    </row>
    <row r="17">
      <c r="A17" s="273">
        <f t="shared" si="1"/>
        <v>13</v>
      </c>
      <c r="B17" s="274"/>
      <c r="C17" s="275" t="s">
        <v>991</v>
      </c>
      <c r="D17" s="275"/>
      <c r="E17" s="275"/>
      <c r="F17" s="275"/>
      <c r="G17" s="276">
        <v>32068.0</v>
      </c>
      <c r="H17" s="277">
        <v>18.0</v>
      </c>
      <c r="I17" s="277">
        <v>10.0</v>
      </c>
      <c r="J17" s="278"/>
      <c r="K17" s="279" t="s">
        <v>992</v>
      </c>
    </row>
    <row r="18">
      <c r="A18" s="258">
        <f t="shared" si="1"/>
        <v>14</v>
      </c>
      <c r="B18" s="259" t="s">
        <v>138</v>
      </c>
      <c r="C18" s="260" t="s">
        <v>139</v>
      </c>
      <c r="D18" s="260" t="s">
        <v>126</v>
      </c>
      <c r="E18" s="260" t="s">
        <v>127</v>
      </c>
      <c r="F18" s="260" t="s">
        <v>137</v>
      </c>
      <c r="G18" s="270">
        <v>27686.0</v>
      </c>
      <c r="H18" s="262">
        <v>19.0</v>
      </c>
      <c r="I18" s="262">
        <v>10.0</v>
      </c>
      <c r="J18" s="263">
        <v>46083.0</v>
      </c>
      <c r="K18" s="92">
        <f>IFNA(VLOOKUP(B18,'Danh sách MASTER'!$B$3:$P$119,15,0),0)</f>
        <v>1</v>
      </c>
    </row>
    <row r="19">
      <c r="A19" s="258">
        <f t="shared" si="1"/>
        <v>15</v>
      </c>
      <c r="B19" s="259" t="s">
        <v>355</v>
      </c>
      <c r="C19" s="260" t="s">
        <v>356</v>
      </c>
      <c r="D19" s="260" t="s">
        <v>197</v>
      </c>
      <c r="E19" s="260" t="s">
        <v>198</v>
      </c>
      <c r="F19" s="260" t="s">
        <v>199</v>
      </c>
      <c r="G19" s="268">
        <v>31343.0</v>
      </c>
      <c r="H19" s="262">
        <v>23.0</v>
      </c>
      <c r="I19" s="262">
        <v>10.0</v>
      </c>
      <c r="J19" s="268">
        <v>46006.0</v>
      </c>
      <c r="K19" s="92" t="str">
        <f>IFNA(VLOOKUP(B19,'Danh sách MASTER'!$B$3:$P$119,15,0),0)</f>
        <v/>
      </c>
    </row>
    <row r="20">
      <c r="A20" s="258">
        <f t="shared" si="1"/>
        <v>16</v>
      </c>
      <c r="B20" s="259" t="s">
        <v>265</v>
      </c>
      <c r="C20" s="260" t="s">
        <v>266</v>
      </c>
      <c r="D20" s="260" t="s">
        <v>118</v>
      </c>
      <c r="E20" s="260" t="s">
        <v>119</v>
      </c>
      <c r="F20" s="260" t="s">
        <v>267</v>
      </c>
      <c r="G20" s="268">
        <v>31343.0</v>
      </c>
      <c r="H20" s="262">
        <v>23.0</v>
      </c>
      <c r="I20" s="262">
        <v>10.0</v>
      </c>
      <c r="J20" s="263">
        <v>45931.0</v>
      </c>
      <c r="K20" s="92">
        <f>IFNA(VLOOKUP(B20,'Danh sách MASTER'!$B$3:$P$119,15,0),0)</f>
        <v>1</v>
      </c>
    </row>
    <row r="21">
      <c r="A21" s="258">
        <f t="shared" si="1"/>
        <v>17</v>
      </c>
      <c r="B21" s="259" t="s">
        <v>366</v>
      </c>
      <c r="C21" s="260" t="s">
        <v>367</v>
      </c>
      <c r="D21" s="260" t="s">
        <v>197</v>
      </c>
      <c r="E21" s="260" t="s">
        <v>205</v>
      </c>
      <c r="F21" s="260" t="s">
        <v>206</v>
      </c>
      <c r="G21" s="270">
        <v>28426.0</v>
      </c>
      <c r="H21" s="262">
        <v>28.0</v>
      </c>
      <c r="I21" s="262">
        <v>10.0</v>
      </c>
      <c r="J21" s="263">
        <v>46132.0</v>
      </c>
      <c r="K21" s="92" t="str">
        <f>IFNA(VLOOKUP(B21,'Danh sách MASTER'!$B$3:$P$119,15,0),0)</f>
        <v/>
      </c>
    </row>
    <row r="22">
      <c r="A22" s="258">
        <f t="shared" si="1"/>
        <v>18</v>
      </c>
      <c r="B22" s="259" t="s">
        <v>357</v>
      </c>
      <c r="C22" s="260" t="s">
        <v>358</v>
      </c>
      <c r="D22" s="260" t="s">
        <v>197</v>
      </c>
      <c r="E22" s="260" t="s">
        <v>198</v>
      </c>
      <c r="F22" s="260" t="s">
        <v>199</v>
      </c>
      <c r="G22" s="270">
        <v>37923.0</v>
      </c>
      <c r="H22" s="262">
        <v>29.0</v>
      </c>
      <c r="I22" s="262">
        <v>10.0</v>
      </c>
      <c r="J22" s="263">
        <v>46113.0</v>
      </c>
      <c r="K22" s="92" t="str">
        <f>IFNA(VLOOKUP(B22,'Danh sách MASTER'!$B$3:$P$119,15,0),0)</f>
        <v/>
      </c>
    </row>
    <row r="23">
      <c r="A23" s="258">
        <f t="shared" si="1"/>
        <v>19</v>
      </c>
      <c r="B23" s="269">
        <v>120.0</v>
      </c>
      <c r="C23" s="260" t="s">
        <v>275</v>
      </c>
      <c r="D23" s="260" t="s">
        <v>126</v>
      </c>
      <c r="E23" s="260" t="s">
        <v>276</v>
      </c>
      <c r="F23" s="260" t="s">
        <v>277</v>
      </c>
      <c r="G23" s="270">
        <v>37193.0</v>
      </c>
      <c r="H23" s="266">
        <v>29.0</v>
      </c>
      <c r="I23" s="266">
        <v>10.0</v>
      </c>
      <c r="J23" s="263">
        <v>46204.0</v>
      </c>
      <c r="K23" s="92">
        <f>IFNA(VLOOKUP(B23,'Danh sách MASTER'!$B$3:$P$119,15,0),0)</f>
        <v>1</v>
      </c>
    </row>
    <row r="24">
      <c r="A24" s="106"/>
      <c r="B24" s="106"/>
      <c r="C24" s="70" t="s">
        <v>993</v>
      </c>
      <c r="D24" s="106"/>
      <c r="E24" s="106"/>
      <c r="F24" s="106"/>
      <c r="G24" s="106"/>
      <c r="H24" s="106"/>
      <c r="I24" s="106"/>
      <c r="J24" s="106"/>
      <c r="K24" s="106">
        <f>sum(K5:K23)</f>
        <v>8</v>
      </c>
    </row>
  </sheetData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7.63"/>
    <col customWidth="1" min="6" max="6" width="34.38"/>
  </cols>
  <sheetData>
    <row r="1">
      <c r="A1" s="3" t="s">
        <v>994</v>
      </c>
      <c r="H1" s="1" t="s">
        <v>995</v>
      </c>
      <c r="I1" s="1">
        <v>70.0</v>
      </c>
    </row>
    <row r="2">
      <c r="H2" s="1" t="s">
        <v>996</v>
      </c>
    </row>
    <row r="3">
      <c r="A3" s="70" t="s">
        <v>1</v>
      </c>
      <c r="B3" s="70" t="s">
        <v>595</v>
      </c>
      <c r="C3" s="70" t="s">
        <v>526</v>
      </c>
      <c r="D3" s="70" t="s">
        <v>527</v>
      </c>
      <c r="E3" s="70" t="s">
        <v>528</v>
      </c>
      <c r="F3" s="70" t="s">
        <v>997</v>
      </c>
      <c r="G3" s="70" t="s">
        <v>113</v>
      </c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>
      <c r="A4" s="70" t="s">
        <v>532</v>
      </c>
      <c r="B4" s="70" t="s">
        <v>998</v>
      </c>
      <c r="C4" s="70"/>
      <c r="D4" s="280"/>
      <c r="E4" s="107">
        <f>sum(E5:E7)</f>
        <v>300000</v>
      </c>
      <c r="F4" s="70"/>
      <c r="G4" s="106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84">
        <v>1.0</v>
      </c>
      <c r="B5" s="84" t="s">
        <v>999</v>
      </c>
      <c r="C5" s="84">
        <v>1.0</v>
      </c>
      <c r="D5" s="85">
        <v>200000.0</v>
      </c>
      <c r="E5" s="86">
        <f t="shared" ref="E5:E6" si="1">D5*C5</f>
        <v>200000</v>
      </c>
      <c r="F5" s="84" t="s">
        <v>1000</v>
      </c>
      <c r="G5" s="1" t="s">
        <v>1001</v>
      </c>
      <c r="H5" s="97"/>
    </row>
    <row r="6">
      <c r="A6" s="92">
        <f>A5+1</f>
        <v>2</v>
      </c>
      <c r="B6" s="84" t="s">
        <v>1002</v>
      </c>
      <c r="C6" s="84">
        <v>1.0</v>
      </c>
      <c r="D6" s="85">
        <v>100000.0</v>
      </c>
      <c r="E6" s="86">
        <f t="shared" si="1"/>
        <v>100000</v>
      </c>
      <c r="F6" s="84" t="s">
        <v>1003</v>
      </c>
      <c r="G6" s="1" t="s">
        <v>1001</v>
      </c>
    </row>
    <row r="7">
      <c r="A7" s="84">
        <v>3.0</v>
      </c>
      <c r="B7" s="84" t="s">
        <v>1004</v>
      </c>
      <c r="C7" s="281">
        <v>46300.0</v>
      </c>
      <c r="D7" s="85"/>
      <c r="E7" s="86"/>
      <c r="F7" s="84" t="s">
        <v>1005</v>
      </c>
      <c r="G7" s="97"/>
    </row>
    <row r="8">
      <c r="A8" s="70" t="s">
        <v>553</v>
      </c>
      <c r="B8" s="70" t="s">
        <v>1006</v>
      </c>
      <c r="C8" s="70"/>
      <c r="D8" s="280"/>
      <c r="E8" s="107">
        <f>sum(E9:E12)</f>
        <v>9920000</v>
      </c>
      <c r="F8" s="70"/>
      <c r="G8" s="70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84">
        <v>1.0</v>
      </c>
      <c r="B9" s="84" t="s">
        <v>1007</v>
      </c>
      <c r="C9" s="84">
        <v>1.0</v>
      </c>
      <c r="D9" s="85">
        <v>1390000.0</v>
      </c>
      <c r="E9" s="86">
        <f t="shared" ref="E9:E12" si="2">D9*C9</f>
        <v>1390000</v>
      </c>
      <c r="F9" s="84" t="s">
        <v>1008</v>
      </c>
      <c r="G9" s="282" t="s">
        <v>1009</v>
      </c>
    </row>
    <row r="10">
      <c r="A10" s="84">
        <v>2.0</v>
      </c>
      <c r="B10" s="84" t="s">
        <v>1010</v>
      </c>
      <c r="C10" s="84">
        <v>5.0</v>
      </c>
      <c r="D10" s="85">
        <v>442000.0</v>
      </c>
      <c r="E10" s="86">
        <f t="shared" si="2"/>
        <v>2210000</v>
      </c>
      <c r="F10" s="84" t="s">
        <v>1011</v>
      </c>
      <c r="G10" s="282" t="s">
        <v>1012</v>
      </c>
    </row>
    <row r="11">
      <c r="A11" s="84">
        <v>3.0</v>
      </c>
      <c r="B11" s="84" t="s">
        <v>1013</v>
      </c>
      <c r="C11" s="84">
        <v>8.0</v>
      </c>
      <c r="D11" s="85">
        <v>430000.0</v>
      </c>
      <c r="E11" s="86">
        <f t="shared" si="2"/>
        <v>3440000</v>
      </c>
      <c r="F11" s="84" t="s">
        <v>1014</v>
      </c>
      <c r="G11" s="282" t="s">
        <v>1015</v>
      </c>
    </row>
    <row r="12">
      <c r="A12" s="84">
        <v>5.0</v>
      </c>
      <c r="B12" s="84" t="s">
        <v>1016</v>
      </c>
      <c r="C12" s="84">
        <v>12.0</v>
      </c>
      <c r="D12" s="85">
        <v>240000.0</v>
      </c>
      <c r="E12" s="86">
        <f t="shared" si="2"/>
        <v>2880000</v>
      </c>
      <c r="F12" s="84" t="s">
        <v>1017</v>
      </c>
      <c r="G12" s="283" t="s">
        <v>1018</v>
      </c>
    </row>
    <row r="13">
      <c r="A13" s="3"/>
      <c r="B13" s="3" t="s">
        <v>1019</v>
      </c>
      <c r="C13" s="72">
        <f>sum(C9:C12)</f>
        <v>26</v>
      </c>
      <c r="D13" s="284"/>
      <c r="E13" s="284"/>
      <c r="F13" s="72"/>
      <c r="G13" s="285"/>
    </row>
    <row r="14">
      <c r="B14" s="1" t="s">
        <v>1020</v>
      </c>
      <c r="C14" s="114">
        <f>'Danh sách MASTER'!P119</f>
        <v>65</v>
      </c>
      <c r="D14" s="88"/>
      <c r="E14" s="88"/>
      <c r="G14" s="286"/>
    </row>
    <row r="15">
      <c r="B15" s="1" t="s">
        <v>1021</v>
      </c>
      <c r="C15" s="287">
        <f>C13/C14</f>
        <v>0.4</v>
      </c>
    </row>
    <row r="16">
      <c r="A16" s="3"/>
      <c r="C16" s="1"/>
      <c r="D16" s="88"/>
      <c r="E16" s="88"/>
      <c r="F16" s="1"/>
    </row>
    <row r="17">
      <c r="A17" s="3" t="s">
        <v>1022</v>
      </c>
      <c r="B17" s="1"/>
      <c r="C17" s="1"/>
      <c r="D17" s="88"/>
      <c r="E17" s="88"/>
      <c r="F17" s="1"/>
    </row>
    <row r="18">
      <c r="A18" s="3"/>
      <c r="B18" s="3"/>
      <c r="C18" s="3"/>
      <c r="D18" s="3"/>
      <c r="E18" s="3"/>
      <c r="F18" s="3"/>
      <c r="G18" s="3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70" t="s">
        <v>1</v>
      </c>
      <c r="B19" s="70" t="s">
        <v>595</v>
      </c>
      <c r="C19" s="70" t="s">
        <v>526</v>
      </c>
      <c r="D19" s="70" t="s">
        <v>527</v>
      </c>
      <c r="E19" s="70" t="s">
        <v>528</v>
      </c>
      <c r="F19" s="70" t="s">
        <v>997</v>
      </c>
      <c r="G19" s="70" t="s">
        <v>113</v>
      </c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82">
        <v>1.0</v>
      </c>
      <c r="B20" s="84" t="s">
        <v>1023</v>
      </c>
      <c r="C20" s="84">
        <v>50.0</v>
      </c>
      <c r="D20" s="86"/>
      <c r="E20" s="86"/>
      <c r="F20" s="84" t="s">
        <v>1024</v>
      </c>
      <c r="G20" s="92"/>
    </row>
    <row r="21">
      <c r="A21" s="94">
        <f t="shared" ref="A21:A24" si="3">A20+1</f>
        <v>2</v>
      </c>
      <c r="B21" s="84" t="s">
        <v>1025</v>
      </c>
      <c r="C21" s="84">
        <v>500.0</v>
      </c>
      <c r="D21" s="86"/>
      <c r="E21" s="86"/>
      <c r="F21" s="92"/>
      <c r="G21" s="97"/>
    </row>
    <row r="22">
      <c r="A22" s="94">
        <f t="shared" si="3"/>
        <v>3</v>
      </c>
      <c r="B22" s="84" t="s">
        <v>1026</v>
      </c>
      <c r="C22" s="84">
        <v>50.0</v>
      </c>
      <c r="D22" s="86"/>
      <c r="E22" s="86"/>
      <c r="F22" s="92"/>
      <c r="G22" s="92"/>
      <c r="J22" s="1">
        <v>1.0</v>
      </c>
    </row>
    <row r="23">
      <c r="A23" s="94">
        <f t="shared" si="3"/>
        <v>4</v>
      </c>
      <c r="B23" s="84" t="s">
        <v>1027</v>
      </c>
      <c r="C23" s="84">
        <v>0.0</v>
      </c>
      <c r="D23" s="86"/>
      <c r="E23" s="86"/>
      <c r="F23" s="92"/>
      <c r="G23" s="92"/>
    </row>
    <row r="24">
      <c r="A24" s="94">
        <f t="shared" si="3"/>
        <v>5</v>
      </c>
      <c r="B24" s="84" t="s">
        <v>1028</v>
      </c>
      <c r="C24" s="84">
        <v>0.0</v>
      </c>
      <c r="D24" s="92"/>
      <c r="E24" s="92"/>
      <c r="F24" s="92"/>
      <c r="G24" s="92"/>
    </row>
    <row r="27">
      <c r="A27" s="3" t="s">
        <v>1029</v>
      </c>
      <c r="B27" s="3"/>
      <c r="C27" s="3"/>
      <c r="D27" s="3"/>
      <c r="E27" s="3"/>
      <c r="F27" s="3"/>
      <c r="G27" s="3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>
      <c r="A28" s="3" t="s">
        <v>1</v>
      </c>
      <c r="B28" s="3" t="s">
        <v>595</v>
      </c>
      <c r="C28" s="3" t="s">
        <v>526</v>
      </c>
      <c r="D28" s="3" t="s">
        <v>527</v>
      </c>
      <c r="E28" s="3" t="s">
        <v>528</v>
      </c>
      <c r="F28" s="3" t="s">
        <v>113</v>
      </c>
      <c r="G28" s="3" t="s">
        <v>1030</v>
      </c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1">
        <v>1.0</v>
      </c>
      <c r="B29" s="1" t="s">
        <v>1031</v>
      </c>
      <c r="C29" s="1">
        <v>1.0</v>
      </c>
      <c r="D29" s="90">
        <v>1390000.0</v>
      </c>
      <c r="E29" s="88">
        <f t="shared" ref="E29:E30" si="4">D29*C29</f>
        <v>1390000</v>
      </c>
      <c r="F29" s="1" t="s">
        <v>1032</v>
      </c>
      <c r="G29" s="288" t="s">
        <v>1033</v>
      </c>
    </row>
    <row r="30">
      <c r="A30" s="1">
        <v>2.0</v>
      </c>
      <c r="B30" s="1" t="s">
        <v>1034</v>
      </c>
      <c r="C30" s="1">
        <v>1.0</v>
      </c>
      <c r="D30" s="90">
        <v>4890000.0</v>
      </c>
      <c r="E30" s="88">
        <f t="shared" si="4"/>
        <v>4890000</v>
      </c>
      <c r="F30" s="1" t="s">
        <v>1032</v>
      </c>
      <c r="G30" s="288" t="s">
        <v>1035</v>
      </c>
    </row>
    <row r="31">
      <c r="B31" s="1" t="s">
        <v>1036</v>
      </c>
    </row>
    <row r="32">
      <c r="B32" s="286" t="s">
        <v>1037</v>
      </c>
    </row>
  </sheetData>
  <hyperlinks>
    <hyperlink r:id="rId1" ref="G9"/>
    <hyperlink r:id="rId2" ref="G10"/>
    <hyperlink r:id="rId3" ref="G11"/>
    <hyperlink r:id="rId4" ref="G12"/>
    <hyperlink r:id="rId5" ref="G29"/>
    <hyperlink r:id="rId6" ref="G30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13"/>
    <col customWidth="1" min="4" max="4" width="14.38"/>
    <col customWidth="1" min="5" max="5" width="44.25"/>
  </cols>
  <sheetData>
    <row r="1">
      <c r="A1" s="3" t="s">
        <v>1038</v>
      </c>
    </row>
    <row r="4">
      <c r="A4" s="289" t="s">
        <v>1</v>
      </c>
      <c r="B4" s="71" t="s">
        <v>524</v>
      </c>
      <c r="C4" s="70" t="s">
        <v>1039</v>
      </c>
      <c r="D4" s="70" t="s">
        <v>1040</v>
      </c>
      <c r="E4" s="70" t="s">
        <v>113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290">
        <v>1.0</v>
      </c>
      <c r="B5" s="124" t="s">
        <v>1041</v>
      </c>
      <c r="C5" s="291" t="s">
        <v>1042</v>
      </c>
      <c r="D5" s="292">
        <v>46277.0</v>
      </c>
      <c r="E5" s="123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290">
        <f t="shared" ref="A6:A47" si="1">A5+1</f>
        <v>2</v>
      </c>
      <c r="B6" s="124" t="s">
        <v>1043</v>
      </c>
      <c r="C6" s="291" t="s">
        <v>1044</v>
      </c>
      <c r="D6" s="292">
        <v>46285.0</v>
      </c>
      <c r="E6" s="291" t="s">
        <v>1045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290">
        <f t="shared" si="1"/>
        <v>3</v>
      </c>
      <c r="B7" s="124" t="s">
        <v>1046</v>
      </c>
      <c r="C7" s="291" t="s">
        <v>42</v>
      </c>
      <c r="D7" s="292">
        <v>46279.0</v>
      </c>
      <c r="E7" s="123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290">
        <f t="shared" si="1"/>
        <v>4</v>
      </c>
      <c r="B8" s="124" t="s">
        <v>1047</v>
      </c>
      <c r="C8" s="291" t="s">
        <v>42</v>
      </c>
      <c r="D8" s="292">
        <v>46279.0</v>
      </c>
      <c r="E8" s="123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290">
        <f t="shared" si="1"/>
        <v>5</v>
      </c>
      <c r="B9" s="124" t="s">
        <v>1048</v>
      </c>
      <c r="C9" s="291" t="s">
        <v>42</v>
      </c>
      <c r="D9" s="292">
        <v>46302.0</v>
      </c>
      <c r="E9" s="123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290">
        <f t="shared" si="1"/>
        <v>6</v>
      </c>
      <c r="B10" s="124" t="s">
        <v>1049</v>
      </c>
      <c r="C10" s="291" t="s">
        <v>1042</v>
      </c>
      <c r="D10" s="292">
        <v>46279.0</v>
      </c>
      <c r="E10" s="123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290">
        <f t="shared" si="1"/>
        <v>7</v>
      </c>
      <c r="B11" s="124" t="s">
        <v>1050</v>
      </c>
      <c r="C11" s="291" t="s">
        <v>42</v>
      </c>
      <c r="D11" s="292">
        <v>46281.0</v>
      </c>
      <c r="E11" s="123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14.25" customHeight="1">
      <c r="A12" s="290">
        <f t="shared" si="1"/>
        <v>8</v>
      </c>
      <c r="B12" s="83" t="s">
        <v>1051</v>
      </c>
      <c r="C12" s="84" t="s">
        <v>1052</v>
      </c>
      <c r="D12" s="293"/>
      <c r="E12" s="92"/>
    </row>
    <row r="13" ht="14.25" customHeight="1">
      <c r="A13" s="290">
        <f t="shared" si="1"/>
        <v>9</v>
      </c>
      <c r="B13" s="83" t="s">
        <v>1053</v>
      </c>
      <c r="C13" s="84" t="s">
        <v>1054</v>
      </c>
      <c r="D13" s="293"/>
      <c r="E13" s="92"/>
    </row>
    <row r="14" ht="14.25" customHeight="1">
      <c r="A14" s="290">
        <f t="shared" si="1"/>
        <v>10</v>
      </c>
      <c r="B14" s="83" t="s">
        <v>1055</v>
      </c>
      <c r="C14" s="84" t="s">
        <v>1052</v>
      </c>
      <c r="D14" s="293"/>
      <c r="E14" s="92"/>
    </row>
    <row r="15" ht="14.25" customHeight="1">
      <c r="A15" s="290">
        <f t="shared" si="1"/>
        <v>11</v>
      </c>
      <c r="B15" s="83" t="s">
        <v>1056</v>
      </c>
      <c r="C15" s="84" t="s">
        <v>1057</v>
      </c>
      <c r="D15" s="293"/>
      <c r="E15" s="92"/>
    </row>
    <row r="16" ht="14.25" customHeight="1">
      <c r="A16" s="290">
        <f t="shared" si="1"/>
        <v>12</v>
      </c>
      <c r="B16" s="83" t="s">
        <v>1058</v>
      </c>
      <c r="C16" s="84" t="s">
        <v>1052</v>
      </c>
      <c r="D16" s="293"/>
      <c r="E16" s="92"/>
    </row>
    <row r="17" ht="14.25" customHeight="1">
      <c r="A17" s="290">
        <f t="shared" si="1"/>
        <v>13</v>
      </c>
      <c r="B17" s="83" t="s">
        <v>1059</v>
      </c>
      <c r="C17" s="84" t="s">
        <v>1060</v>
      </c>
      <c r="D17" s="293">
        <v>46283.0</v>
      </c>
      <c r="E17" s="92"/>
    </row>
    <row r="18">
      <c r="A18" s="290">
        <f t="shared" si="1"/>
        <v>14</v>
      </c>
      <c r="B18" s="83" t="s">
        <v>1061</v>
      </c>
      <c r="C18" s="84" t="s">
        <v>1062</v>
      </c>
      <c r="D18" s="293">
        <v>46290.0</v>
      </c>
      <c r="E18" s="84" t="s">
        <v>1063</v>
      </c>
    </row>
    <row r="19">
      <c r="A19" s="290">
        <f t="shared" si="1"/>
        <v>15</v>
      </c>
      <c r="B19" s="83" t="s">
        <v>1064</v>
      </c>
      <c r="C19" s="84" t="s">
        <v>751</v>
      </c>
      <c r="D19" s="293">
        <v>46299.0</v>
      </c>
      <c r="E19" s="84" t="s">
        <v>1065</v>
      </c>
    </row>
    <row r="20">
      <c r="A20" s="290">
        <f t="shared" si="1"/>
        <v>16</v>
      </c>
      <c r="B20" s="83" t="s">
        <v>1066</v>
      </c>
      <c r="C20" s="84" t="s">
        <v>1060</v>
      </c>
      <c r="D20" s="293">
        <v>46283.0</v>
      </c>
      <c r="E20" s="92"/>
    </row>
    <row r="21">
      <c r="A21" s="290">
        <f t="shared" si="1"/>
        <v>17</v>
      </c>
      <c r="B21" s="83" t="s">
        <v>1067</v>
      </c>
      <c r="C21" s="84" t="s">
        <v>751</v>
      </c>
      <c r="D21" s="293">
        <v>46285.0</v>
      </c>
      <c r="E21" s="84" t="s">
        <v>1068</v>
      </c>
    </row>
    <row r="22">
      <c r="A22" s="290">
        <f t="shared" si="1"/>
        <v>18</v>
      </c>
      <c r="B22" s="83" t="s">
        <v>1069</v>
      </c>
      <c r="C22" s="84" t="s">
        <v>751</v>
      </c>
      <c r="D22" s="293">
        <v>46285.0</v>
      </c>
      <c r="E22" s="84" t="s">
        <v>1068</v>
      </c>
    </row>
    <row r="23">
      <c r="A23" s="290">
        <f t="shared" si="1"/>
        <v>19</v>
      </c>
      <c r="B23" s="84" t="s">
        <v>1070</v>
      </c>
      <c r="C23" s="84" t="s">
        <v>751</v>
      </c>
      <c r="D23" s="293">
        <v>46285.0</v>
      </c>
      <c r="E23" s="84" t="s">
        <v>1071</v>
      </c>
    </row>
    <row r="24">
      <c r="A24" s="290">
        <f t="shared" si="1"/>
        <v>20</v>
      </c>
      <c r="B24" s="83" t="s">
        <v>1072</v>
      </c>
      <c r="C24" s="84" t="s">
        <v>1060</v>
      </c>
      <c r="D24" s="293">
        <v>46285.0</v>
      </c>
      <c r="E24" s="84" t="s">
        <v>13</v>
      </c>
    </row>
    <row r="25">
      <c r="A25" s="290">
        <f t="shared" si="1"/>
        <v>21</v>
      </c>
      <c r="B25" s="83" t="s">
        <v>1073</v>
      </c>
      <c r="C25" s="84" t="s">
        <v>1060</v>
      </c>
      <c r="D25" s="293">
        <v>46285.0</v>
      </c>
      <c r="E25" s="84"/>
    </row>
    <row r="26">
      <c r="A26" s="290">
        <f t="shared" si="1"/>
        <v>22</v>
      </c>
      <c r="B26" s="83" t="s">
        <v>1074</v>
      </c>
      <c r="C26" s="84" t="s">
        <v>1060</v>
      </c>
      <c r="D26" s="293">
        <v>46285.0</v>
      </c>
      <c r="E26" s="84" t="s">
        <v>1075</v>
      </c>
    </row>
    <row r="27">
      <c r="A27" s="290">
        <f t="shared" si="1"/>
        <v>23</v>
      </c>
      <c r="B27" s="83" t="s">
        <v>1073</v>
      </c>
      <c r="C27" s="84" t="s">
        <v>1060</v>
      </c>
      <c r="D27" s="293">
        <v>46285.0</v>
      </c>
      <c r="E27" s="84"/>
    </row>
    <row r="28">
      <c r="A28" s="290">
        <f t="shared" si="1"/>
        <v>24</v>
      </c>
      <c r="B28" s="83" t="s">
        <v>1076</v>
      </c>
      <c r="C28" s="84" t="s">
        <v>1077</v>
      </c>
      <c r="D28" s="293">
        <v>46290.0</v>
      </c>
      <c r="E28" s="84" t="s">
        <v>1078</v>
      </c>
    </row>
    <row r="29">
      <c r="A29" s="290">
        <f t="shared" si="1"/>
        <v>25</v>
      </c>
      <c r="B29" s="83" t="s">
        <v>560</v>
      </c>
      <c r="C29" s="84" t="s">
        <v>1079</v>
      </c>
      <c r="D29" s="293">
        <v>46290.0</v>
      </c>
      <c r="E29" s="84" t="s">
        <v>1080</v>
      </c>
    </row>
    <row r="30">
      <c r="A30" s="290">
        <f t="shared" si="1"/>
        <v>26</v>
      </c>
      <c r="B30" s="84" t="s">
        <v>561</v>
      </c>
      <c r="C30" s="84" t="s">
        <v>1079</v>
      </c>
      <c r="D30" s="293">
        <v>46290.0</v>
      </c>
      <c r="E30" s="84" t="s">
        <v>1081</v>
      </c>
    </row>
    <row r="31">
      <c r="A31" s="290">
        <f t="shared" si="1"/>
        <v>27</v>
      </c>
      <c r="B31" s="83" t="s">
        <v>564</v>
      </c>
      <c r="C31" s="84" t="s">
        <v>1079</v>
      </c>
      <c r="D31" s="293">
        <v>46285.0</v>
      </c>
      <c r="E31" s="84" t="s">
        <v>1082</v>
      </c>
    </row>
    <row r="32">
      <c r="A32" s="290">
        <f t="shared" si="1"/>
        <v>28</v>
      </c>
      <c r="B32" s="83" t="s">
        <v>565</v>
      </c>
      <c r="C32" s="84" t="s">
        <v>1083</v>
      </c>
      <c r="D32" s="293">
        <v>46290.0</v>
      </c>
      <c r="E32" s="92"/>
    </row>
    <row r="33">
      <c r="A33" s="290">
        <f t="shared" si="1"/>
        <v>29</v>
      </c>
      <c r="B33" s="83" t="s">
        <v>1084</v>
      </c>
      <c r="C33" s="84" t="s">
        <v>751</v>
      </c>
      <c r="D33" s="293">
        <v>46285.0</v>
      </c>
      <c r="E33" s="92"/>
    </row>
    <row r="34">
      <c r="A34" s="290">
        <f t="shared" si="1"/>
        <v>30</v>
      </c>
      <c r="B34" s="83" t="s">
        <v>1085</v>
      </c>
      <c r="C34" s="84" t="s">
        <v>1086</v>
      </c>
      <c r="D34" s="293">
        <v>46281.0</v>
      </c>
      <c r="E34" s="92"/>
    </row>
    <row r="35">
      <c r="A35" s="290">
        <f t="shared" si="1"/>
        <v>31</v>
      </c>
      <c r="B35" s="83" t="s">
        <v>566</v>
      </c>
      <c r="C35" s="84" t="s">
        <v>1060</v>
      </c>
      <c r="D35" s="293">
        <v>46295.0</v>
      </c>
      <c r="E35" s="92"/>
    </row>
    <row r="36">
      <c r="A36" s="290">
        <f t="shared" si="1"/>
        <v>32</v>
      </c>
      <c r="B36" s="83" t="s">
        <v>1087</v>
      </c>
      <c r="C36" s="84" t="s">
        <v>42</v>
      </c>
      <c r="D36" s="293">
        <v>46295.0</v>
      </c>
      <c r="E36" s="84" t="s">
        <v>1088</v>
      </c>
    </row>
    <row r="37">
      <c r="A37" s="290">
        <f t="shared" si="1"/>
        <v>33</v>
      </c>
      <c r="B37" s="84" t="s">
        <v>1089</v>
      </c>
      <c r="C37" s="84" t="s">
        <v>1090</v>
      </c>
      <c r="D37" s="293">
        <v>46290.0</v>
      </c>
      <c r="E37" s="92"/>
    </row>
    <row r="38">
      <c r="A38" s="290">
        <f t="shared" si="1"/>
        <v>34</v>
      </c>
      <c r="B38" s="83" t="s">
        <v>577</v>
      </c>
      <c r="C38" s="84" t="s">
        <v>1091</v>
      </c>
      <c r="D38" s="293">
        <v>46285.0</v>
      </c>
      <c r="E38" s="84" t="s">
        <v>1092</v>
      </c>
    </row>
    <row r="39">
      <c r="A39" s="290">
        <f t="shared" si="1"/>
        <v>35</v>
      </c>
      <c r="B39" s="83" t="s">
        <v>1093</v>
      </c>
      <c r="C39" s="84" t="s">
        <v>1094</v>
      </c>
      <c r="D39" s="293">
        <v>46297.0</v>
      </c>
      <c r="E39" s="84" t="s">
        <v>1095</v>
      </c>
    </row>
    <row r="40">
      <c r="A40" s="290">
        <f t="shared" si="1"/>
        <v>36</v>
      </c>
      <c r="B40" s="83" t="s">
        <v>1096</v>
      </c>
      <c r="C40" s="84" t="s">
        <v>42</v>
      </c>
      <c r="D40" s="293">
        <v>46300.0</v>
      </c>
      <c r="E40" s="92"/>
    </row>
    <row r="41">
      <c r="A41" s="290">
        <f t="shared" si="1"/>
        <v>37</v>
      </c>
      <c r="B41" s="83" t="s">
        <v>1097</v>
      </c>
      <c r="C41" s="84" t="s">
        <v>42</v>
      </c>
      <c r="D41" s="293">
        <v>46300.0</v>
      </c>
      <c r="E41" s="92"/>
    </row>
    <row r="42">
      <c r="A42" s="290">
        <f t="shared" si="1"/>
        <v>38</v>
      </c>
      <c r="B42" s="83" t="s">
        <v>1098</v>
      </c>
      <c r="C42" s="84" t="s">
        <v>1060</v>
      </c>
      <c r="D42" s="293">
        <v>46295.0</v>
      </c>
      <c r="E42" s="84" t="s">
        <v>1099</v>
      </c>
    </row>
    <row r="43">
      <c r="A43" s="290">
        <f t="shared" si="1"/>
        <v>39</v>
      </c>
      <c r="B43" s="124" t="s">
        <v>1100</v>
      </c>
      <c r="C43" s="84" t="s">
        <v>1060</v>
      </c>
      <c r="D43" s="293">
        <v>46295.0</v>
      </c>
      <c r="E43" s="123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290">
        <f t="shared" si="1"/>
        <v>40</v>
      </c>
      <c r="B44" s="124" t="s">
        <v>1101</v>
      </c>
      <c r="C44" s="84" t="s">
        <v>1060</v>
      </c>
      <c r="D44" s="293">
        <v>46295.0</v>
      </c>
      <c r="E44" s="291" t="s">
        <v>1102</v>
      </c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290">
        <f t="shared" si="1"/>
        <v>41</v>
      </c>
      <c r="B45" s="83" t="s">
        <v>1103</v>
      </c>
      <c r="C45" s="84" t="s">
        <v>1104</v>
      </c>
      <c r="D45" s="92"/>
      <c r="E45" s="84" t="s">
        <v>1105</v>
      </c>
    </row>
    <row r="46">
      <c r="A46" s="290">
        <f t="shared" si="1"/>
        <v>42</v>
      </c>
      <c r="B46" s="83" t="s">
        <v>1106</v>
      </c>
      <c r="C46" s="84" t="s">
        <v>1107</v>
      </c>
      <c r="D46" s="92"/>
      <c r="E46" s="84" t="s">
        <v>1108</v>
      </c>
    </row>
    <row r="47">
      <c r="A47" s="290">
        <f t="shared" si="1"/>
        <v>43</v>
      </c>
      <c r="B47" s="83" t="s">
        <v>590</v>
      </c>
      <c r="C47" s="84" t="s">
        <v>1060</v>
      </c>
      <c r="D47" s="92"/>
      <c r="E47" s="9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8.63"/>
    <col customWidth="1" min="3" max="3" width="72.75"/>
    <col customWidth="1" min="4" max="4" width="25.63"/>
    <col customWidth="1" min="5" max="5" width="30.25"/>
  </cols>
  <sheetData>
    <row r="1">
      <c r="A1" s="3" t="s">
        <v>1109</v>
      </c>
      <c r="B1" s="72"/>
      <c r="C1" s="72"/>
      <c r="D1" s="294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>
      <c r="D2" s="69"/>
    </row>
    <row r="3">
      <c r="D3" s="69"/>
    </row>
    <row r="4">
      <c r="A4" s="70" t="s">
        <v>1</v>
      </c>
      <c r="B4" s="70" t="s">
        <v>1110</v>
      </c>
      <c r="C4" s="70" t="s">
        <v>1111</v>
      </c>
      <c r="D4" s="71" t="s">
        <v>113</v>
      </c>
      <c r="E4" s="3" t="s">
        <v>113</v>
      </c>
      <c r="F4" s="3" t="s">
        <v>1112</v>
      </c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82">
        <v>1.0</v>
      </c>
      <c r="B5" s="84" t="s">
        <v>1113</v>
      </c>
      <c r="C5" s="288" t="s">
        <v>1114</v>
      </c>
      <c r="D5" s="83" t="s">
        <v>1115</v>
      </c>
      <c r="E5" s="1" t="s">
        <v>1116</v>
      </c>
      <c r="F5" s="1" t="s">
        <v>1117</v>
      </c>
    </row>
    <row r="6">
      <c r="A6" s="94">
        <f t="shared" ref="A6:A13" si="1">A5+1</f>
        <v>2</v>
      </c>
      <c r="B6" s="84" t="s">
        <v>1118</v>
      </c>
      <c r="C6" s="283" t="s">
        <v>1119</v>
      </c>
      <c r="D6" s="83" t="s">
        <v>1120</v>
      </c>
      <c r="F6" s="1" t="s">
        <v>1117</v>
      </c>
    </row>
    <row r="7">
      <c r="A7" s="94">
        <f t="shared" si="1"/>
        <v>3</v>
      </c>
      <c r="B7" s="84" t="s">
        <v>1118</v>
      </c>
      <c r="C7" s="283" t="s">
        <v>1121</v>
      </c>
      <c r="D7" s="83" t="s">
        <v>1122</v>
      </c>
    </row>
    <row r="8">
      <c r="A8" s="94">
        <f t="shared" si="1"/>
        <v>4</v>
      </c>
      <c r="B8" s="84" t="s">
        <v>1118</v>
      </c>
      <c r="C8" s="283" t="s">
        <v>1123</v>
      </c>
      <c r="D8" s="295"/>
    </row>
    <row r="9">
      <c r="A9" s="94">
        <f t="shared" si="1"/>
        <v>5</v>
      </c>
      <c r="B9" s="84" t="s">
        <v>1118</v>
      </c>
      <c r="C9" s="283" t="s">
        <v>1124</v>
      </c>
      <c r="D9" s="295"/>
    </row>
    <row r="10">
      <c r="A10" s="94">
        <f t="shared" si="1"/>
        <v>6</v>
      </c>
      <c r="B10" s="84" t="s">
        <v>1125</v>
      </c>
      <c r="C10" s="283" t="s">
        <v>1126</v>
      </c>
      <c r="D10" s="83" t="s">
        <v>1127</v>
      </c>
    </row>
    <row r="11">
      <c r="A11" s="94">
        <f t="shared" si="1"/>
        <v>7</v>
      </c>
      <c r="B11" s="84" t="s">
        <v>1118</v>
      </c>
      <c r="C11" s="283" t="s">
        <v>1128</v>
      </c>
      <c r="D11" s="83" t="s">
        <v>1129</v>
      </c>
    </row>
    <row r="12">
      <c r="A12" s="94">
        <f t="shared" si="1"/>
        <v>8</v>
      </c>
      <c r="B12" s="84" t="s">
        <v>1113</v>
      </c>
      <c r="C12" s="282" t="s">
        <v>1130</v>
      </c>
      <c r="D12" s="83" t="s">
        <v>1131</v>
      </c>
    </row>
    <row r="13">
      <c r="A13" s="94">
        <f t="shared" si="1"/>
        <v>9</v>
      </c>
      <c r="B13" s="1" t="s">
        <v>1118</v>
      </c>
      <c r="C13" s="288" t="s">
        <v>1132</v>
      </c>
      <c r="D13" s="69"/>
    </row>
    <row r="14">
      <c r="D14" s="69"/>
    </row>
    <row r="15">
      <c r="D15" s="69"/>
    </row>
    <row r="16">
      <c r="D16" s="69"/>
    </row>
    <row r="17">
      <c r="D17" s="69"/>
    </row>
    <row r="18">
      <c r="D18" s="69"/>
    </row>
    <row r="19">
      <c r="D19" s="69"/>
    </row>
    <row r="20">
      <c r="D20" s="69"/>
    </row>
    <row r="21">
      <c r="D21" s="69"/>
    </row>
    <row r="22">
      <c r="D22" s="69"/>
    </row>
    <row r="23">
      <c r="D23" s="69"/>
    </row>
    <row r="24">
      <c r="D24" s="69"/>
    </row>
    <row r="25">
      <c r="D25" s="69"/>
    </row>
    <row r="26">
      <c r="D26" s="69"/>
    </row>
    <row r="27">
      <c r="D27" s="69"/>
    </row>
    <row r="28">
      <c r="D28" s="69"/>
    </row>
    <row r="29">
      <c r="D29" s="69"/>
    </row>
    <row r="30">
      <c r="D30" s="69"/>
    </row>
    <row r="31">
      <c r="D31" s="69"/>
    </row>
    <row r="32">
      <c r="D32" s="69"/>
    </row>
    <row r="33">
      <c r="D33" s="69"/>
    </row>
    <row r="34">
      <c r="D34" s="69"/>
    </row>
    <row r="35">
      <c r="D35" s="69"/>
    </row>
    <row r="36">
      <c r="D36" s="69"/>
    </row>
    <row r="37">
      <c r="D37" s="69"/>
    </row>
    <row r="38">
      <c r="D38" s="69"/>
    </row>
    <row r="39">
      <c r="D39" s="69"/>
    </row>
    <row r="40">
      <c r="D40" s="69"/>
    </row>
    <row r="41">
      <c r="D41" s="69"/>
    </row>
    <row r="42">
      <c r="D42" s="69"/>
    </row>
    <row r="43">
      <c r="D43" s="69"/>
    </row>
    <row r="44">
      <c r="D44" s="69"/>
    </row>
    <row r="45">
      <c r="D45" s="69"/>
    </row>
    <row r="46">
      <c r="D46" s="69"/>
    </row>
    <row r="47">
      <c r="D47" s="69"/>
    </row>
    <row r="48">
      <c r="D48" s="69"/>
    </row>
    <row r="49">
      <c r="D49" s="69"/>
    </row>
    <row r="50">
      <c r="D50" s="69"/>
    </row>
    <row r="51">
      <c r="D51" s="69"/>
    </row>
    <row r="52">
      <c r="D52" s="69"/>
    </row>
    <row r="53">
      <c r="D53" s="69"/>
    </row>
    <row r="54">
      <c r="D54" s="69"/>
    </row>
    <row r="55">
      <c r="D55" s="69"/>
    </row>
    <row r="56">
      <c r="D56" s="69"/>
    </row>
    <row r="57">
      <c r="D57" s="69"/>
    </row>
    <row r="58">
      <c r="D58" s="69"/>
    </row>
    <row r="59">
      <c r="D59" s="69"/>
    </row>
    <row r="60">
      <c r="D60" s="69"/>
    </row>
    <row r="61">
      <c r="D61" s="69"/>
    </row>
    <row r="62">
      <c r="D62" s="69"/>
    </row>
    <row r="63">
      <c r="D63" s="69"/>
    </row>
    <row r="64">
      <c r="D64" s="69"/>
    </row>
    <row r="65">
      <c r="D65" s="69"/>
    </row>
    <row r="66">
      <c r="D66" s="69"/>
    </row>
    <row r="67">
      <c r="D67" s="69"/>
    </row>
    <row r="68">
      <c r="D68" s="69"/>
    </row>
    <row r="69">
      <c r="D69" s="69"/>
    </row>
    <row r="70">
      <c r="D70" s="69"/>
    </row>
    <row r="71">
      <c r="D71" s="69"/>
    </row>
    <row r="72">
      <c r="D72" s="69"/>
    </row>
    <row r="73">
      <c r="D73" s="69"/>
    </row>
    <row r="74">
      <c r="D74" s="69"/>
    </row>
    <row r="75">
      <c r="D75" s="69"/>
    </row>
    <row r="76">
      <c r="D76" s="69"/>
    </row>
    <row r="77">
      <c r="D77" s="69"/>
    </row>
    <row r="78">
      <c r="D78" s="69"/>
    </row>
    <row r="79">
      <c r="D79" s="69"/>
    </row>
    <row r="80">
      <c r="D80" s="69"/>
    </row>
    <row r="81">
      <c r="D81" s="69"/>
    </row>
    <row r="82">
      <c r="D82" s="69"/>
    </row>
    <row r="83">
      <c r="D83" s="69"/>
    </row>
    <row r="84">
      <c r="D84" s="69"/>
    </row>
    <row r="85">
      <c r="D85" s="69"/>
    </row>
    <row r="86">
      <c r="D86" s="69"/>
    </row>
    <row r="87">
      <c r="D87" s="69"/>
    </row>
    <row r="88">
      <c r="D88" s="69"/>
    </row>
    <row r="89">
      <c r="D89" s="69"/>
    </row>
    <row r="90">
      <c r="D90" s="69"/>
    </row>
    <row r="91">
      <c r="D91" s="69"/>
    </row>
    <row r="92">
      <c r="D92" s="69"/>
    </row>
    <row r="93">
      <c r="D93" s="69"/>
    </row>
    <row r="94">
      <c r="D94" s="69"/>
    </row>
    <row r="95">
      <c r="D95" s="69"/>
    </row>
    <row r="96">
      <c r="D96" s="69"/>
    </row>
    <row r="97">
      <c r="D97" s="69"/>
    </row>
    <row r="98">
      <c r="D98" s="69"/>
    </row>
    <row r="99">
      <c r="D99" s="69"/>
    </row>
    <row r="100">
      <c r="D100" s="69"/>
    </row>
    <row r="101">
      <c r="D101" s="69"/>
    </row>
    <row r="102">
      <c r="D102" s="69"/>
    </row>
    <row r="103">
      <c r="D103" s="69"/>
    </row>
    <row r="104">
      <c r="D104" s="69"/>
    </row>
    <row r="105">
      <c r="D105" s="69"/>
    </row>
    <row r="106">
      <c r="D106" s="69"/>
    </row>
    <row r="107">
      <c r="D107" s="69"/>
    </row>
    <row r="108">
      <c r="D108" s="69"/>
    </row>
    <row r="109">
      <c r="D109" s="69"/>
    </row>
    <row r="110">
      <c r="D110" s="69"/>
    </row>
    <row r="111">
      <c r="D111" s="69"/>
    </row>
    <row r="112">
      <c r="D112" s="69"/>
    </row>
    <row r="113">
      <c r="D113" s="69"/>
    </row>
    <row r="114">
      <c r="D114" s="69"/>
    </row>
    <row r="115">
      <c r="D115" s="69"/>
    </row>
    <row r="116">
      <c r="D116" s="69"/>
    </row>
    <row r="117">
      <c r="D117" s="69"/>
    </row>
    <row r="118">
      <c r="D118" s="69"/>
    </row>
    <row r="119">
      <c r="D119" s="69"/>
    </row>
    <row r="120">
      <c r="D120" s="69"/>
    </row>
    <row r="121">
      <c r="D121" s="69"/>
    </row>
    <row r="122">
      <c r="D122" s="69"/>
    </row>
    <row r="123">
      <c r="D123" s="69"/>
    </row>
    <row r="124">
      <c r="D124" s="69"/>
    </row>
    <row r="125">
      <c r="D125" s="69"/>
    </row>
    <row r="126">
      <c r="D126" s="69"/>
    </row>
    <row r="127">
      <c r="D127" s="69"/>
    </row>
    <row r="128">
      <c r="D128" s="69"/>
    </row>
    <row r="129">
      <c r="D129" s="69"/>
    </row>
    <row r="130">
      <c r="D130" s="69"/>
    </row>
    <row r="131">
      <c r="D131" s="69"/>
    </row>
    <row r="132">
      <c r="D132" s="69"/>
    </row>
    <row r="133">
      <c r="D133" s="69"/>
    </row>
    <row r="134">
      <c r="D134" s="69"/>
    </row>
    <row r="135">
      <c r="D135" s="69"/>
    </row>
    <row r="136">
      <c r="D136" s="69"/>
    </row>
    <row r="137">
      <c r="D137" s="69"/>
    </row>
    <row r="138">
      <c r="D138" s="69"/>
    </row>
    <row r="139">
      <c r="D139" s="69"/>
    </row>
    <row r="140">
      <c r="D140" s="69"/>
    </row>
    <row r="141">
      <c r="D141" s="69"/>
    </row>
    <row r="142">
      <c r="D142" s="69"/>
    </row>
    <row r="143">
      <c r="D143" s="69"/>
    </row>
    <row r="144">
      <c r="D144" s="69"/>
    </row>
    <row r="145">
      <c r="D145" s="69"/>
    </row>
    <row r="146">
      <c r="D146" s="69"/>
    </row>
    <row r="147">
      <c r="D147" s="69"/>
    </row>
    <row r="148">
      <c r="D148" s="69"/>
    </row>
    <row r="149">
      <c r="D149" s="69"/>
    </row>
    <row r="150">
      <c r="D150" s="69"/>
    </row>
    <row r="151">
      <c r="D151" s="69"/>
    </row>
    <row r="152">
      <c r="D152" s="69"/>
    </row>
    <row r="153">
      <c r="D153" s="69"/>
    </row>
    <row r="154">
      <c r="D154" s="69"/>
    </row>
    <row r="155">
      <c r="D155" s="69"/>
    </row>
    <row r="156">
      <c r="D156" s="69"/>
    </row>
    <row r="157">
      <c r="D157" s="69"/>
    </row>
    <row r="158">
      <c r="D158" s="69"/>
    </row>
    <row r="159">
      <c r="D159" s="69"/>
    </row>
    <row r="160">
      <c r="D160" s="69"/>
    </row>
    <row r="161">
      <c r="D161" s="69"/>
    </row>
    <row r="162">
      <c r="D162" s="69"/>
    </row>
    <row r="163">
      <c r="D163" s="69"/>
    </row>
    <row r="164">
      <c r="D164" s="69"/>
    </row>
    <row r="165">
      <c r="D165" s="69"/>
    </row>
    <row r="166">
      <c r="D166" s="69"/>
    </row>
    <row r="167">
      <c r="D167" s="69"/>
    </row>
    <row r="168">
      <c r="D168" s="69"/>
    </row>
    <row r="169">
      <c r="D169" s="69"/>
    </row>
    <row r="170">
      <c r="D170" s="69"/>
    </row>
    <row r="171">
      <c r="D171" s="69"/>
    </row>
    <row r="172">
      <c r="D172" s="69"/>
    </row>
    <row r="173">
      <c r="D173" s="69"/>
    </row>
    <row r="174">
      <c r="D174" s="69"/>
    </row>
    <row r="175">
      <c r="D175" s="69"/>
    </row>
    <row r="176">
      <c r="D176" s="69"/>
    </row>
    <row r="177">
      <c r="D177" s="69"/>
    </row>
    <row r="178">
      <c r="D178" s="69"/>
    </row>
    <row r="179">
      <c r="D179" s="69"/>
    </row>
    <row r="180">
      <c r="D180" s="69"/>
    </row>
    <row r="181">
      <c r="D181" s="69"/>
    </row>
    <row r="182">
      <c r="D182" s="69"/>
    </row>
    <row r="183">
      <c r="D183" s="69"/>
    </row>
    <row r="184">
      <c r="D184" s="69"/>
    </row>
    <row r="185">
      <c r="D185" s="69"/>
    </row>
    <row r="186">
      <c r="D186" s="69"/>
    </row>
    <row r="187">
      <c r="D187" s="69"/>
    </row>
    <row r="188">
      <c r="D188" s="69"/>
    </row>
    <row r="189">
      <c r="D189" s="69"/>
    </row>
    <row r="190">
      <c r="D190" s="69"/>
    </row>
    <row r="191">
      <c r="D191" s="69"/>
    </row>
    <row r="192">
      <c r="D192" s="69"/>
    </row>
    <row r="193">
      <c r="D193" s="69"/>
    </row>
    <row r="194">
      <c r="D194" s="69"/>
    </row>
    <row r="195">
      <c r="D195" s="69"/>
    </row>
    <row r="196">
      <c r="D196" s="69"/>
    </row>
    <row r="197">
      <c r="D197" s="69"/>
    </row>
    <row r="198">
      <c r="D198" s="69"/>
    </row>
    <row r="199">
      <c r="D199" s="69"/>
    </row>
    <row r="200">
      <c r="D200" s="69"/>
    </row>
    <row r="201">
      <c r="D201" s="69"/>
    </row>
    <row r="202">
      <c r="D202" s="69"/>
    </row>
    <row r="203">
      <c r="D203" s="69"/>
    </row>
    <row r="204">
      <c r="D204" s="69"/>
    </row>
    <row r="205">
      <c r="D205" s="69"/>
    </row>
    <row r="206">
      <c r="D206" s="69"/>
    </row>
    <row r="207">
      <c r="D207" s="69"/>
    </row>
    <row r="208">
      <c r="D208" s="69"/>
    </row>
    <row r="209">
      <c r="D209" s="69"/>
    </row>
    <row r="210">
      <c r="D210" s="69"/>
    </row>
    <row r="211">
      <c r="D211" s="69"/>
    </row>
    <row r="212">
      <c r="D212" s="69"/>
    </row>
    <row r="213">
      <c r="D213" s="69"/>
    </row>
    <row r="214">
      <c r="D214" s="69"/>
    </row>
    <row r="215">
      <c r="D215" s="69"/>
    </row>
    <row r="216">
      <c r="D216" s="69"/>
    </row>
    <row r="217">
      <c r="D217" s="69"/>
    </row>
    <row r="218">
      <c r="D218" s="69"/>
    </row>
    <row r="219">
      <c r="D219" s="69"/>
    </row>
    <row r="220">
      <c r="D220" s="69"/>
    </row>
    <row r="221">
      <c r="D221" s="69"/>
    </row>
    <row r="222">
      <c r="D222" s="69"/>
    </row>
    <row r="223">
      <c r="D223" s="69"/>
    </row>
    <row r="224">
      <c r="D224" s="69"/>
    </row>
    <row r="225">
      <c r="D225" s="69"/>
    </row>
    <row r="226">
      <c r="D226" s="69"/>
    </row>
    <row r="227">
      <c r="D227" s="69"/>
    </row>
    <row r="228">
      <c r="D228" s="69"/>
    </row>
    <row r="229">
      <c r="D229" s="69"/>
    </row>
    <row r="230">
      <c r="D230" s="69"/>
    </row>
    <row r="231">
      <c r="D231" s="69"/>
    </row>
    <row r="232">
      <c r="D232" s="69"/>
    </row>
    <row r="233">
      <c r="D233" s="69"/>
    </row>
    <row r="234">
      <c r="D234" s="69"/>
    </row>
    <row r="235">
      <c r="D235" s="69"/>
    </row>
    <row r="236">
      <c r="D236" s="69"/>
    </row>
    <row r="237">
      <c r="D237" s="69"/>
    </row>
    <row r="238">
      <c r="D238" s="69"/>
    </row>
    <row r="239">
      <c r="D239" s="69"/>
    </row>
    <row r="240">
      <c r="D240" s="69"/>
    </row>
    <row r="241">
      <c r="D241" s="69"/>
    </row>
    <row r="242">
      <c r="D242" s="69"/>
    </row>
    <row r="243">
      <c r="D243" s="69"/>
    </row>
    <row r="244">
      <c r="D244" s="69"/>
    </row>
    <row r="245">
      <c r="D245" s="69"/>
    </row>
    <row r="246">
      <c r="D246" s="69"/>
    </row>
    <row r="247">
      <c r="D247" s="69"/>
    </row>
    <row r="248">
      <c r="D248" s="69"/>
    </row>
    <row r="249">
      <c r="D249" s="69"/>
    </row>
    <row r="250">
      <c r="D250" s="69"/>
    </row>
    <row r="251">
      <c r="D251" s="69"/>
    </row>
    <row r="252">
      <c r="D252" s="69"/>
    </row>
    <row r="253">
      <c r="D253" s="69"/>
    </row>
    <row r="254">
      <c r="D254" s="69"/>
    </row>
    <row r="255">
      <c r="D255" s="69"/>
    </row>
    <row r="256">
      <c r="D256" s="69"/>
    </row>
    <row r="257">
      <c r="D257" s="69"/>
    </row>
    <row r="258">
      <c r="D258" s="69"/>
    </row>
    <row r="259">
      <c r="D259" s="69"/>
    </row>
    <row r="260">
      <c r="D260" s="69"/>
    </row>
    <row r="261">
      <c r="D261" s="69"/>
    </row>
    <row r="262">
      <c r="D262" s="69"/>
    </row>
    <row r="263">
      <c r="D263" s="69"/>
    </row>
    <row r="264">
      <c r="D264" s="69"/>
    </row>
    <row r="265">
      <c r="D265" s="69"/>
    </row>
    <row r="266">
      <c r="D266" s="69"/>
    </row>
    <row r="267">
      <c r="D267" s="69"/>
    </row>
    <row r="268">
      <c r="D268" s="69"/>
    </row>
    <row r="269">
      <c r="D269" s="69"/>
    </row>
    <row r="270">
      <c r="D270" s="69"/>
    </row>
    <row r="271">
      <c r="D271" s="69"/>
    </row>
    <row r="272">
      <c r="D272" s="69"/>
    </row>
    <row r="273">
      <c r="D273" s="69"/>
    </row>
    <row r="274">
      <c r="D274" s="69"/>
    </row>
    <row r="275">
      <c r="D275" s="69"/>
    </row>
    <row r="276">
      <c r="D276" s="69"/>
    </row>
    <row r="277">
      <c r="D277" s="69"/>
    </row>
    <row r="278">
      <c r="D278" s="69"/>
    </row>
    <row r="279">
      <c r="D279" s="69"/>
    </row>
    <row r="280">
      <c r="D280" s="69"/>
    </row>
    <row r="281">
      <c r="D281" s="69"/>
    </row>
    <row r="282">
      <c r="D282" s="69"/>
    </row>
    <row r="283">
      <c r="D283" s="69"/>
    </row>
    <row r="284">
      <c r="D284" s="69"/>
    </row>
    <row r="285">
      <c r="D285" s="69"/>
    </row>
    <row r="286">
      <c r="D286" s="69"/>
    </row>
    <row r="287">
      <c r="D287" s="69"/>
    </row>
    <row r="288">
      <c r="D288" s="69"/>
    </row>
    <row r="289">
      <c r="D289" s="69"/>
    </row>
    <row r="290">
      <c r="D290" s="69"/>
    </row>
    <row r="291">
      <c r="D291" s="69"/>
    </row>
    <row r="292">
      <c r="D292" s="69"/>
    </row>
    <row r="293">
      <c r="D293" s="69"/>
    </row>
    <row r="294">
      <c r="D294" s="69"/>
    </row>
    <row r="295">
      <c r="D295" s="69"/>
    </row>
    <row r="296">
      <c r="D296" s="69"/>
    </row>
    <row r="297">
      <c r="D297" s="69"/>
    </row>
    <row r="298">
      <c r="D298" s="69"/>
    </row>
    <row r="299">
      <c r="D299" s="69"/>
    </row>
    <row r="300">
      <c r="D300" s="69"/>
    </row>
    <row r="301">
      <c r="D301" s="69"/>
    </row>
    <row r="302">
      <c r="D302" s="69"/>
    </row>
    <row r="303">
      <c r="D303" s="69"/>
    </row>
    <row r="304">
      <c r="D304" s="69"/>
    </row>
    <row r="305">
      <c r="D305" s="69"/>
    </row>
    <row r="306">
      <c r="D306" s="69"/>
    </row>
    <row r="307">
      <c r="D307" s="69"/>
    </row>
    <row r="308">
      <c r="D308" s="69"/>
    </row>
    <row r="309">
      <c r="D309" s="69"/>
    </row>
    <row r="310">
      <c r="D310" s="69"/>
    </row>
    <row r="311">
      <c r="D311" s="69"/>
    </row>
    <row r="312">
      <c r="D312" s="69"/>
    </row>
    <row r="313">
      <c r="D313" s="69"/>
    </row>
    <row r="314">
      <c r="D314" s="69"/>
    </row>
    <row r="315">
      <c r="D315" s="69"/>
    </row>
    <row r="316">
      <c r="D316" s="69"/>
    </row>
    <row r="317">
      <c r="D317" s="69"/>
    </row>
    <row r="318">
      <c r="D318" s="69"/>
    </row>
    <row r="319">
      <c r="D319" s="69"/>
    </row>
    <row r="320">
      <c r="D320" s="69"/>
    </row>
    <row r="321">
      <c r="D321" s="69"/>
    </row>
    <row r="322">
      <c r="D322" s="69"/>
    </row>
    <row r="323">
      <c r="D323" s="69"/>
    </row>
    <row r="324">
      <c r="D324" s="69"/>
    </row>
    <row r="325">
      <c r="D325" s="69"/>
    </row>
    <row r="326">
      <c r="D326" s="69"/>
    </row>
    <row r="327">
      <c r="D327" s="69"/>
    </row>
    <row r="328">
      <c r="D328" s="69"/>
    </row>
    <row r="329">
      <c r="D329" s="69"/>
    </row>
    <row r="330">
      <c r="D330" s="69"/>
    </row>
    <row r="331">
      <c r="D331" s="69"/>
    </row>
    <row r="332">
      <c r="D332" s="69"/>
    </row>
    <row r="333">
      <c r="D333" s="69"/>
    </row>
    <row r="334">
      <c r="D334" s="69"/>
    </row>
    <row r="335">
      <c r="D335" s="69"/>
    </row>
    <row r="336">
      <c r="D336" s="69"/>
    </row>
    <row r="337">
      <c r="D337" s="69"/>
    </row>
    <row r="338">
      <c r="D338" s="69"/>
    </row>
    <row r="339">
      <c r="D339" s="69"/>
    </row>
    <row r="340">
      <c r="D340" s="69"/>
    </row>
    <row r="341">
      <c r="D341" s="69"/>
    </row>
    <row r="342">
      <c r="D342" s="69"/>
    </row>
    <row r="343">
      <c r="D343" s="69"/>
    </row>
    <row r="344">
      <c r="D344" s="69"/>
    </row>
    <row r="345">
      <c r="D345" s="69"/>
    </row>
    <row r="346">
      <c r="D346" s="69"/>
    </row>
    <row r="347">
      <c r="D347" s="69"/>
    </row>
    <row r="348">
      <c r="D348" s="69"/>
    </row>
    <row r="349">
      <c r="D349" s="69"/>
    </row>
    <row r="350">
      <c r="D350" s="69"/>
    </row>
    <row r="351">
      <c r="D351" s="69"/>
    </row>
    <row r="352">
      <c r="D352" s="69"/>
    </row>
    <row r="353">
      <c r="D353" s="69"/>
    </row>
    <row r="354">
      <c r="D354" s="69"/>
    </row>
    <row r="355">
      <c r="D355" s="69"/>
    </row>
    <row r="356">
      <c r="D356" s="69"/>
    </row>
    <row r="357">
      <c r="D357" s="69"/>
    </row>
    <row r="358">
      <c r="D358" s="69"/>
    </row>
    <row r="359">
      <c r="D359" s="69"/>
    </row>
    <row r="360">
      <c r="D360" s="69"/>
    </row>
    <row r="361">
      <c r="D361" s="69"/>
    </row>
    <row r="362">
      <c r="D362" s="69"/>
    </row>
    <row r="363">
      <c r="D363" s="69"/>
    </row>
    <row r="364">
      <c r="D364" s="69"/>
    </row>
    <row r="365">
      <c r="D365" s="69"/>
    </row>
    <row r="366">
      <c r="D366" s="69"/>
    </row>
    <row r="367">
      <c r="D367" s="69"/>
    </row>
    <row r="368">
      <c r="D368" s="69"/>
    </row>
    <row r="369">
      <c r="D369" s="69"/>
    </row>
    <row r="370">
      <c r="D370" s="69"/>
    </row>
    <row r="371">
      <c r="D371" s="69"/>
    </row>
    <row r="372">
      <c r="D372" s="69"/>
    </row>
    <row r="373">
      <c r="D373" s="69"/>
    </row>
    <row r="374">
      <c r="D374" s="69"/>
    </row>
    <row r="375">
      <c r="D375" s="69"/>
    </row>
    <row r="376">
      <c r="D376" s="69"/>
    </row>
    <row r="377">
      <c r="D377" s="69"/>
    </row>
    <row r="378">
      <c r="D378" s="69"/>
    </row>
    <row r="379">
      <c r="D379" s="69"/>
    </row>
    <row r="380">
      <c r="D380" s="69"/>
    </row>
    <row r="381">
      <c r="D381" s="69"/>
    </row>
    <row r="382">
      <c r="D382" s="69"/>
    </row>
    <row r="383">
      <c r="D383" s="69"/>
    </row>
    <row r="384">
      <c r="D384" s="69"/>
    </row>
    <row r="385">
      <c r="D385" s="69"/>
    </row>
    <row r="386">
      <c r="D386" s="69"/>
    </row>
    <row r="387">
      <c r="D387" s="69"/>
    </row>
    <row r="388">
      <c r="D388" s="69"/>
    </row>
    <row r="389">
      <c r="D389" s="69"/>
    </row>
    <row r="390">
      <c r="D390" s="69"/>
    </row>
    <row r="391">
      <c r="D391" s="69"/>
    </row>
    <row r="392">
      <c r="D392" s="69"/>
    </row>
    <row r="393">
      <c r="D393" s="69"/>
    </row>
    <row r="394">
      <c r="D394" s="69"/>
    </row>
    <row r="395">
      <c r="D395" s="69"/>
    </row>
    <row r="396">
      <c r="D396" s="69"/>
    </row>
    <row r="397">
      <c r="D397" s="69"/>
    </row>
    <row r="398">
      <c r="D398" s="69"/>
    </row>
    <row r="399">
      <c r="D399" s="69"/>
    </row>
    <row r="400">
      <c r="D400" s="69"/>
    </row>
    <row r="401">
      <c r="D401" s="69"/>
    </row>
    <row r="402">
      <c r="D402" s="69"/>
    </row>
    <row r="403">
      <c r="D403" s="69"/>
    </row>
    <row r="404">
      <c r="D404" s="69"/>
    </row>
    <row r="405">
      <c r="D405" s="69"/>
    </row>
    <row r="406">
      <c r="D406" s="69"/>
    </row>
    <row r="407">
      <c r="D407" s="69"/>
    </row>
    <row r="408">
      <c r="D408" s="69"/>
    </row>
    <row r="409">
      <c r="D409" s="69"/>
    </row>
    <row r="410">
      <c r="D410" s="69"/>
    </row>
    <row r="411">
      <c r="D411" s="69"/>
    </row>
    <row r="412">
      <c r="D412" s="69"/>
    </row>
    <row r="413">
      <c r="D413" s="69"/>
    </row>
    <row r="414">
      <c r="D414" s="69"/>
    </row>
    <row r="415">
      <c r="D415" s="69"/>
    </row>
    <row r="416">
      <c r="D416" s="69"/>
    </row>
    <row r="417">
      <c r="D417" s="69"/>
    </row>
    <row r="418">
      <c r="D418" s="69"/>
    </row>
    <row r="419">
      <c r="D419" s="69"/>
    </row>
    <row r="420">
      <c r="D420" s="69"/>
    </row>
    <row r="421">
      <c r="D421" s="69"/>
    </row>
    <row r="422">
      <c r="D422" s="69"/>
    </row>
    <row r="423">
      <c r="D423" s="69"/>
    </row>
    <row r="424">
      <c r="D424" s="69"/>
    </row>
    <row r="425">
      <c r="D425" s="69"/>
    </row>
    <row r="426">
      <c r="D426" s="69"/>
    </row>
    <row r="427">
      <c r="D427" s="69"/>
    </row>
    <row r="428">
      <c r="D428" s="69"/>
    </row>
    <row r="429">
      <c r="D429" s="69"/>
    </row>
    <row r="430">
      <c r="D430" s="69"/>
    </row>
    <row r="431">
      <c r="D431" s="69"/>
    </row>
    <row r="432">
      <c r="D432" s="69"/>
    </row>
    <row r="433">
      <c r="D433" s="69"/>
    </row>
    <row r="434">
      <c r="D434" s="69"/>
    </row>
    <row r="435">
      <c r="D435" s="69"/>
    </row>
    <row r="436">
      <c r="D436" s="69"/>
    </row>
    <row r="437">
      <c r="D437" s="69"/>
    </row>
    <row r="438">
      <c r="D438" s="69"/>
    </row>
    <row r="439">
      <c r="D439" s="69"/>
    </row>
    <row r="440">
      <c r="D440" s="69"/>
    </row>
    <row r="441">
      <c r="D441" s="69"/>
    </row>
    <row r="442">
      <c r="D442" s="69"/>
    </row>
    <row r="443">
      <c r="D443" s="69"/>
    </row>
    <row r="444">
      <c r="D444" s="69"/>
    </row>
    <row r="445">
      <c r="D445" s="69"/>
    </row>
    <row r="446">
      <c r="D446" s="69"/>
    </row>
    <row r="447">
      <c r="D447" s="69"/>
    </row>
    <row r="448">
      <c r="D448" s="69"/>
    </row>
    <row r="449">
      <c r="D449" s="69"/>
    </row>
    <row r="450">
      <c r="D450" s="69"/>
    </row>
    <row r="451">
      <c r="D451" s="69"/>
    </row>
    <row r="452">
      <c r="D452" s="69"/>
    </row>
    <row r="453">
      <c r="D453" s="69"/>
    </row>
    <row r="454">
      <c r="D454" s="69"/>
    </row>
    <row r="455">
      <c r="D455" s="69"/>
    </row>
    <row r="456">
      <c r="D456" s="69"/>
    </row>
    <row r="457">
      <c r="D457" s="69"/>
    </row>
    <row r="458">
      <c r="D458" s="69"/>
    </row>
    <row r="459">
      <c r="D459" s="69"/>
    </row>
    <row r="460">
      <c r="D460" s="69"/>
    </row>
    <row r="461">
      <c r="D461" s="69"/>
    </row>
    <row r="462">
      <c r="D462" s="69"/>
    </row>
    <row r="463">
      <c r="D463" s="69"/>
    </row>
    <row r="464">
      <c r="D464" s="69"/>
    </row>
    <row r="465">
      <c r="D465" s="69"/>
    </row>
    <row r="466">
      <c r="D466" s="69"/>
    </row>
    <row r="467">
      <c r="D467" s="69"/>
    </row>
    <row r="468">
      <c r="D468" s="69"/>
    </row>
    <row r="469">
      <c r="D469" s="69"/>
    </row>
    <row r="470">
      <c r="D470" s="69"/>
    </row>
    <row r="471">
      <c r="D471" s="69"/>
    </row>
    <row r="472">
      <c r="D472" s="69"/>
    </row>
    <row r="473">
      <c r="D473" s="69"/>
    </row>
    <row r="474">
      <c r="D474" s="69"/>
    </row>
    <row r="475">
      <c r="D475" s="69"/>
    </row>
    <row r="476">
      <c r="D476" s="69"/>
    </row>
    <row r="477">
      <c r="D477" s="69"/>
    </row>
    <row r="478">
      <c r="D478" s="69"/>
    </row>
    <row r="479">
      <c r="D479" s="69"/>
    </row>
    <row r="480">
      <c r="D480" s="69"/>
    </row>
    <row r="481">
      <c r="D481" s="69"/>
    </row>
    <row r="482">
      <c r="D482" s="69"/>
    </row>
    <row r="483">
      <c r="D483" s="69"/>
    </row>
    <row r="484">
      <c r="D484" s="69"/>
    </row>
    <row r="485">
      <c r="D485" s="69"/>
    </row>
    <row r="486">
      <c r="D486" s="69"/>
    </row>
    <row r="487">
      <c r="D487" s="69"/>
    </row>
    <row r="488">
      <c r="D488" s="69"/>
    </row>
    <row r="489">
      <c r="D489" s="69"/>
    </row>
    <row r="490">
      <c r="D490" s="69"/>
    </row>
    <row r="491">
      <c r="D491" s="69"/>
    </row>
    <row r="492">
      <c r="D492" s="69"/>
    </row>
    <row r="493">
      <c r="D493" s="69"/>
    </row>
    <row r="494">
      <c r="D494" s="69"/>
    </row>
    <row r="495">
      <c r="D495" s="69"/>
    </row>
    <row r="496">
      <c r="D496" s="69"/>
    </row>
    <row r="497">
      <c r="D497" s="69"/>
    </row>
    <row r="498">
      <c r="D498" s="69"/>
    </row>
    <row r="499">
      <c r="D499" s="69"/>
    </row>
    <row r="500">
      <c r="D500" s="69"/>
    </row>
    <row r="501">
      <c r="D501" s="69"/>
    </row>
    <row r="502">
      <c r="D502" s="69"/>
    </row>
    <row r="503">
      <c r="D503" s="69"/>
    </row>
    <row r="504">
      <c r="D504" s="69"/>
    </row>
    <row r="505">
      <c r="D505" s="69"/>
    </row>
    <row r="506">
      <c r="D506" s="69"/>
    </row>
    <row r="507">
      <c r="D507" s="69"/>
    </row>
    <row r="508">
      <c r="D508" s="69"/>
    </row>
    <row r="509">
      <c r="D509" s="69"/>
    </row>
    <row r="510">
      <c r="D510" s="69"/>
    </row>
    <row r="511">
      <c r="D511" s="69"/>
    </row>
    <row r="512">
      <c r="D512" s="69"/>
    </row>
    <row r="513">
      <c r="D513" s="69"/>
    </row>
    <row r="514">
      <c r="D514" s="69"/>
    </row>
    <row r="515">
      <c r="D515" s="69"/>
    </row>
    <row r="516">
      <c r="D516" s="69"/>
    </row>
    <row r="517">
      <c r="D517" s="69"/>
    </row>
    <row r="518">
      <c r="D518" s="69"/>
    </row>
    <row r="519">
      <c r="D519" s="69"/>
    </row>
    <row r="520">
      <c r="D520" s="69"/>
    </row>
    <row r="521">
      <c r="D521" s="69"/>
    </row>
    <row r="522">
      <c r="D522" s="69"/>
    </row>
    <row r="523">
      <c r="D523" s="69"/>
    </row>
    <row r="524">
      <c r="D524" s="69"/>
    </row>
    <row r="525">
      <c r="D525" s="69"/>
    </row>
    <row r="526">
      <c r="D526" s="69"/>
    </row>
    <row r="527">
      <c r="D527" s="69"/>
    </row>
    <row r="528">
      <c r="D528" s="69"/>
    </row>
    <row r="529">
      <c r="D529" s="69"/>
    </row>
    <row r="530">
      <c r="D530" s="69"/>
    </row>
    <row r="531">
      <c r="D531" s="69"/>
    </row>
    <row r="532">
      <c r="D532" s="69"/>
    </row>
    <row r="533">
      <c r="D533" s="69"/>
    </row>
    <row r="534">
      <c r="D534" s="69"/>
    </row>
    <row r="535">
      <c r="D535" s="69"/>
    </row>
    <row r="536">
      <c r="D536" s="69"/>
    </row>
    <row r="537">
      <c r="D537" s="69"/>
    </row>
    <row r="538">
      <c r="D538" s="69"/>
    </row>
    <row r="539">
      <c r="D539" s="69"/>
    </row>
    <row r="540">
      <c r="D540" s="69"/>
    </row>
    <row r="541">
      <c r="D541" s="69"/>
    </row>
    <row r="542">
      <c r="D542" s="69"/>
    </row>
    <row r="543">
      <c r="D543" s="69"/>
    </row>
    <row r="544">
      <c r="D544" s="69"/>
    </row>
    <row r="545">
      <c r="D545" s="69"/>
    </row>
    <row r="546">
      <c r="D546" s="69"/>
    </row>
    <row r="547">
      <c r="D547" s="69"/>
    </row>
    <row r="548">
      <c r="D548" s="69"/>
    </row>
    <row r="549">
      <c r="D549" s="69"/>
    </row>
    <row r="550">
      <c r="D550" s="69"/>
    </row>
    <row r="551">
      <c r="D551" s="69"/>
    </row>
    <row r="552">
      <c r="D552" s="69"/>
    </row>
    <row r="553">
      <c r="D553" s="69"/>
    </row>
    <row r="554">
      <c r="D554" s="69"/>
    </row>
    <row r="555">
      <c r="D555" s="69"/>
    </row>
    <row r="556">
      <c r="D556" s="69"/>
    </row>
    <row r="557">
      <c r="D557" s="69"/>
    </row>
    <row r="558">
      <c r="D558" s="69"/>
    </row>
    <row r="559">
      <c r="D559" s="69"/>
    </row>
    <row r="560">
      <c r="D560" s="69"/>
    </row>
    <row r="561">
      <c r="D561" s="69"/>
    </row>
    <row r="562">
      <c r="D562" s="69"/>
    </row>
    <row r="563">
      <c r="D563" s="69"/>
    </row>
    <row r="564">
      <c r="D564" s="69"/>
    </row>
    <row r="565">
      <c r="D565" s="69"/>
    </row>
    <row r="566">
      <c r="D566" s="69"/>
    </row>
    <row r="567">
      <c r="D567" s="69"/>
    </row>
    <row r="568">
      <c r="D568" s="69"/>
    </row>
    <row r="569">
      <c r="D569" s="69"/>
    </row>
    <row r="570">
      <c r="D570" s="69"/>
    </row>
    <row r="571">
      <c r="D571" s="69"/>
    </row>
    <row r="572">
      <c r="D572" s="69"/>
    </row>
    <row r="573">
      <c r="D573" s="69"/>
    </row>
    <row r="574">
      <c r="D574" s="69"/>
    </row>
    <row r="575">
      <c r="D575" s="69"/>
    </row>
    <row r="576">
      <c r="D576" s="69"/>
    </row>
    <row r="577">
      <c r="D577" s="69"/>
    </row>
    <row r="578">
      <c r="D578" s="69"/>
    </row>
    <row r="579">
      <c r="D579" s="69"/>
    </row>
    <row r="580">
      <c r="D580" s="69"/>
    </row>
    <row r="581">
      <c r="D581" s="69"/>
    </row>
    <row r="582">
      <c r="D582" s="69"/>
    </row>
    <row r="583">
      <c r="D583" s="69"/>
    </row>
    <row r="584">
      <c r="D584" s="69"/>
    </row>
    <row r="585">
      <c r="D585" s="69"/>
    </row>
    <row r="586">
      <c r="D586" s="69"/>
    </row>
    <row r="587">
      <c r="D587" s="69"/>
    </row>
    <row r="588">
      <c r="D588" s="69"/>
    </row>
    <row r="589">
      <c r="D589" s="69"/>
    </row>
    <row r="590">
      <c r="D590" s="69"/>
    </row>
    <row r="591">
      <c r="D591" s="69"/>
    </row>
    <row r="592">
      <c r="D592" s="69"/>
    </row>
    <row r="593">
      <c r="D593" s="69"/>
    </row>
    <row r="594">
      <c r="D594" s="69"/>
    </row>
    <row r="595">
      <c r="D595" s="69"/>
    </row>
    <row r="596">
      <c r="D596" s="69"/>
    </row>
    <row r="597">
      <c r="D597" s="69"/>
    </row>
    <row r="598">
      <c r="D598" s="69"/>
    </row>
    <row r="599">
      <c r="D599" s="69"/>
    </row>
    <row r="600">
      <c r="D600" s="69"/>
    </row>
    <row r="601">
      <c r="D601" s="69"/>
    </row>
    <row r="602">
      <c r="D602" s="69"/>
    </row>
    <row r="603">
      <c r="D603" s="69"/>
    </row>
    <row r="604">
      <c r="D604" s="69"/>
    </row>
    <row r="605">
      <c r="D605" s="69"/>
    </row>
    <row r="606">
      <c r="D606" s="69"/>
    </row>
    <row r="607">
      <c r="D607" s="69"/>
    </row>
    <row r="608">
      <c r="D608" s="69"/>
    </row>
    <row r="609">
      <c r="D609" s="69"/>
    </row>
    <row r="610">
      <c r="D610" s="69"/>
    </row>
    <row r="611">
      <c r="D611" s="69"/>
    </row>
    <row r="612">
      <c r="D612" s="69"/>
    </row>
    <row r="613">
      <c r="D613" s="69"/>
    </row>
    <row r="614">
      <c r="D614" s="69"/>
    </row>
    <row r="615">
      <c r="D615" s="69"/>
    </row>
    <row r="616">
      <c r="D616" s="69"/>
    </row>
    <row r="617">
      <c r="D617" s="69"/>
    </row>
    <row r="618">
      <c r="D618" s="69"/>
    </row>
    <row r="619">
      <c r="D619" s="69"/>
    </row>
    <row r="620">
      <c r="D620" s="69"/>
    </row>
    <row r="621">
      <c r="D621" s="69"/>
    </row>
    <row r="622">
      <c r="D622" s="69"/>
    </row>
    <row r="623">
      <c r="D623" s="69"/>
    </row>
    <row r="624">
      <c r="D624" s="69"/>
    </row>
    <row r="625">
      <c r="D625" s="69"/>
    </row>
    <row r="626">
      <c r="D626" s="69"/>
    </row>
    <row r="627">
      <c r="D627" s="69"/>
    </row>
    <row r="628">
      <c r="D628" s="69"/>
    </row>
    <row r="629">
      <c r="D629" s="69"/>
    </row>
    <row r="630">
      <c r="D630" s="69"/>
    </row>
    <row r="631">
      <c r="D631" s="69"/>
    </row>
    <row r="632">
      <c r="D632" s="69"/>
    </row>
    <row r="633">
      <c r="D633" s="69"/>
    </row>
    <row r="634">
      <c r="D634" s="69"/>
    </row>
    <row r="635">
      <c r="D635" s="69"/>
    </row>
    <row r="636">
      <c r="D636" s="69"/>
    </row>
    <row r="637">
      <c r="D637" s="69"/>
    </row>
    <row r="638">
      <c r="D638" s="69"/>
    </row>
    <row r="639">
      <c r="D639" s="69"/>
    </row>
    <row r="640">
      <c r="D640" s="69"/>
    </row>
    <row r="641">
      <c r="D641" s="69"/>
    </row>
    <row r="642">
      <c r="D642" s="69"/>
    </row>
    <row r="643">
      <c r="D643" s="69"/>
    </row>
    <row r="644">
      <c r="D644" s="69"/>
    </row>
    <row r="645">
      <c r="D645" s="69"/>
    </row>
    <row r="646">
      <c r="D646" s="69"/>
    </row>
    <row r="647">
      <c r="D647" s="69"/>
    </row>
    <row r="648">
      <c r="D648" s="69"/>
    </row>
    <row r="649">
      <c r="D649" s="69"/>
    </row>
    <row r="650">
      <c r="D650" s="69"/>
    </row>
    <row r="651">
      <c r="D651" s="69"/>
    </row>
    <row r="652">
      <c r="D652" s="69"/>
    </row>
    <row r="653">
      <c r="D653" s="69"/>
    </row>
    <row r="654">
      <c r="D654" s="69"/>
    </row>
    <row r="655">
      <c r="D655" s="69"/>
    </row>
    <row r="656">
      <c r="D656" s="69"/>
    </row>
    <row r="657">
      <c r="D657" s="69"/>
    </row>
    <row r="658">
      <c r="D658" s="69"/>
    </row>
    <row r="659">
      <c r="D659" s="69"/>
    </row>
    <row r="660">
      <c r="D660" s="69"/>
    </row>
    <row r="661">
      <c r="D661" s="69"/>
    </row>
    <row r="662">
      <c r="D662" s="69"/>
    </row>
    <row r="663">
      <c r="D663" s="69"/>
    </row>
    <row r="664">
      <c r="D664" s="69"/>
    </row>
    <row r="665">
      <c r="D665" s="69"/>
    </row>
    <row r="666">
      <c r="D666" s="69"/>
    </row>
    <row r="667">
      <c r="D667" s="69"/>
    </row>
    <row r="668">
      <c r="D668" s="69"/>
    </row>
    <row r="669">
      <c r="D669" s="69"/>
    </row>
    <row r="670">
      <c r="D670" s="69"/>
    </row>
    <row r="671">
      <c r="D671" s="69"/>
    </row>
    <row r="672">
      <c r="D672" s="69"/>
    </row>
    <row r="673">
      <c r="D673" s="69"/>
    </row>
    <row r="674">
      <c r="D674" s="69"/>
    </row>
    <row r="675">
      <c r="D675" s="69"/>
    </row>
    <row r="676">
      <c r="D676" s="69"/>
    </row>
    <row r="677">
      <c r="D677" s="69"/>
    </row>
    <row r="678">
      <c r="D678" s="69"/>
    </row>
    <row r="679">
      <c r="D679" s="69"/>
    </row>
    <row r="680">
      <c r="D680" s="69"/>
    </row>
    <row r="681">
      <c r="D681" s="69"/>
    </row>
    <row r="682">
      <c r="D682" s="69"/>
    </row>
    <row r="683">
      <c r="D683" s="69"/>
    </row>
    <row r="684">
      <c r="D684" s="69"/>
    </row>
    <row r="685">
      <c r="D685" s="69"/>
    </row>
    <row r="686">
      <c r="D686" s="69"/>
    </row>
    <row r="687">
      <c r="D687" s="69"/>
    </row>
    <row r="688">
      <c r="D688" s="69"/>
    </row>
    <row r="689">
      <c r="D689" s="69"/>
    </row>
    <row r="690">
      <c r="D690" s="69"/>
    </row>
    <row r="691">
      <c r="D691" s="69"/>
    </row>
    <row r="692">
      <c r="D692" s="69"/>
    </row>
    <row r="693">
      <c r="D693" s="69"/>
    </row>
    <row r="694">
      <c r="D694" s="69"/>
    </row>
    <row r="695">
      <c r="D695" s="69"/>
    </row>
    <row r="696">
      <c r="D696" s="69"/>
    </row>
    <row r="697">
      <c r="D697" s="69"/>
    </row>
    <row r="698">
      <c r="D698" s="69"/>
    </row>
    <row r="699">
      <c r="D699" s="69"/>
    </row>
    <row r="700">
      <c r="D700" s="69"/>
    </row>
    <row r="701">
      <c r="D701" s="69"/>
    </row>
    <row r="702">
      <c r="D702" s="69"/>
    </row>
    <row r="703">
      <c r="D703" s="69"/>
    </row>
    <row r="704">
      <c r="D704" s="69"/>
    </row>
    <row r="705">
      <c r="D705" s="69"/>
    </row>
    <row r="706">
      <c r="D706" s="69"/>
    </row>
    <row r="707">
      <c r="D707" s="69"/>
    </row>
    <row r="708">
      <c r="D708" s="69"/>
    </row>
    <row r="709">
      <c r="D709" s="69"/>
    </row>
    <row r="710">
      <c r="D710" s="69"/>
    </row>
    <row r="711">
      <c r="D711" s="69"/>
    </row>
    <row r="712">
      <c r="D712" s="69"/>
    </row>
    <row r="713">
      <c r="D713" s="69"/>
    </row>
    <row r="714">
      <c r="D714" s="69"/>
    </row>
    <row r="715">
      <c r="D715" s="69"/>
    </row>
    <row r="716">
      <c r="D716" s="69"/>
    </row>
    <row r="717">
      <c r="D717" s="69"/>
    </row>
    <row r="718">
      <c r="D718" s="69"/>
    </row>
    <row r="719">
      <c r="D719" s="69"/>
    </row>
    <row r="720">
      <c r="D720" s="69"/>
    </row>
    <row r="721">
      <c r="D721" s="69"/>
    </row>
    <row r="722">
      <c r="D722" s="69"/>
    </row>
    <row r="723">
      <c r="D723" s="69"/>
    </row>
    <row r="724">
      <c r="D724" s="69"/>
    </row>
    <row r="725">
      <c r="D725" s="69"/>
    </row>
    <row r="726">
      <c r="D726" s="69"/>
    </row>
    <row r="727">
      <c r="D727" s="69"/>
    </row>
    <row r="728">
      <c r="D728" s="69"/>
    </row>
    <row r="729">
      <c r="D729" s="69"/>
    </row>
    <row r="730">
      <c r="D730" s="69"/>
    </row>
    <row r="731">
      <c r="D731" s="69"/>
    </row>
    <row r="732">
      <c r="D732" s="69"/>
    </row>
    <row r="733">
      <c r="D733" s="69"/>
    </row>
    <row r="734">
      <c r="D734" s="69"/>
    </row>
    <row r="735">
      <c r="D735" s="69"/>
    </row>
    <row r="736">
      <c r="D736" s="69"/>
    </row>
    <row r="737">
      <c r="D737" s="69"/>
    </row>
    <row r="738">
      <c r="D738" s="69"/>
    </row>
    <row r="739">
      <c r="D739" s="69"/>
    </row>
    <row r="740">
      <c r="D740" s="69"/>
    </row>
    <row r="741">
      <c r="D741" s="69"/>
    </row>
    <row r="742">
      <c r="D742" s="69"/>
    </row>
    <row r="743">
      <c r="D743" s="69"/>
    </row>
    <row r="744">
      <c r="D744" s="69"/>
    </row>
    <row r="745">
      <c r="D745" s="69"/>
    </row>
    <row r="746">
      <c r="D746" s="69"/>
    </row>
    <row r="747">
      <c r="D747" s="69"/>
    </row>
    <row r="748">
      <c r="D748" s="69"/>
    </row>
    <row r="749">
      <c r="D749" s="69"/>
    </row>
    <row r="750">
      <c r="D750" s="69"/>
    </row>
    <row r="751">
      <c r="D751" s="69"/>
    </row>
    <row r="752">
      <c r="D752" s="69"/>
    </row>
    <row r="753">
      <c r="D753" s="69"/>
    </row>
    <row r="754">
      <c r="D754" s="69"/>
    </row>
    <row r="755">
      <c r="D755" s="69"/>
    </row>
    <row r="756">
      <c r="D756" s="69"/>
    </row>
    <row r="757">
      <c r="D757" s="69"/>
    </row>
    <row r="758">
      <c r="D758" s="69"/>
    </row>
    <row r="759">
      <c r="D759" s="69"/>
    </row>
    <row r="760">
      <c r="D760" s="69"/>
    </row>
    <row r="761">
      <c r="D761" s="69"/>
    </row>
    <row r="762">
      <c r="D762" s="69"/>
    </row>
    <row r="763">
      <c r="D763" s="69"/>
    </row>
    <row r="764">
      <c r="D764" s="69"/>
    </row>
    <row r="765">
      <c r="D765" s="69"/>
    </row>
    <row r="766">
      <c r="D766" s="69"/>
    </row>
    <row r="767">
      <c r="D767" s="69"/>
    </row>
    <row r="768">
      <c r="D768" s="69"/>
    </row>
    <row r="769">
      <c r="D769" s="69"/>
    </row>
    <row r="770">
      <c r="D770" s="69"/>
    </row>
    <row r="771">
      <c r="D771" s="69"/>
    </row>
    <row r="772">
      <c r="D772" s="69"/>
    </row>
    <row r="773">
      <c r="D773" s="69"/>
    </row>
    <row r="774">
      <c r="D774" s="69"/>
    </row>
    <row r="775">
      <c r="D775" s="69"/>
    </row>
    <row r="776">
      <c r="D776" s="69"/>
    </row>
    <row r="777">
      <c r="D777" s="69"/>
    </row>
    <row r="778">
      <c r="D778" s="69"/>
    </row>
    <row r="779">
      <c r="D779" s="69"/>
    </row>
    <row r="780">
      <c r="D780" s="69"/>
    </row>
    <row r="781">
      <c r="D781" s="69"/>
    </row>
    <row r="782">
      <c r="D782" s="69"/>
    </row>
    <row r="783">
      <c r="D783" s="69"/>
    </row>
    <row r="784">
      <c r="D784" s="69"/>
    </row>
    <row r="785">
      <c r="D785" s="69"/>
    </row>
    <row r="786">
      <c r="D786" s="69"/>
    </row>
    <row r="787">
      <c r="D787" s="69"/>
    </row>
    <row r="788">
      <c r="D788" s="69"/>
    </row>
    <row r="789">
      <c r="D789" s="69"/>
    </row>
    <row r="790">
      <c r="D790" s="69"/>
    </row>
    <row r="791">
      <c r="D791" s="69"/>
    </row>
    <row r="792">
      <c r="D792" s="69"/>
    </row>
    <row r="793">
      <c r="D793" s="69"/>
    </row>
    <row r="794">
      <c r="D794" s="69"/>
    </row>
    <row r="795">
      <c r="D795" s="69"/>
    </row>
    <row r="796">
      <c r="D796" s="69"/>
    </row>
    <row r="797">
      <c r="D797" s="69"/>
    </row>
    <row r="798">
      <c r="D798" s="69"/>
    </row>
    <row r="799">
      <c r="D799" s="69"/>
    </row>
    <row r="800">
      <c r="D800" s="69"/>
    </row>
    <row r="801">
      <c r="D801" s="69"/>
    </row>
    <row r="802">
      <c r="D802" s="69"/>
    </row>
    <row r="803">
      <c r="D803" s="69"/>
    </row>
    <row r="804">
      <c r="D804" s="69"/>
    </row>
    <row r="805">
      <c r="D805" s="69"/>
    </row>
    <row r="806">
      <c r="D806" s="69"/>
    </row>
    <row r="807">
      <c r="D807" s="69"/>
    </row>
    <row r="808">
      <c r="D808" s="69"/>
    </row>
    <row r="809">
      <c r="D809" s="69"/>
    </row>
    <row r="810">
      <c r="D810" s="69"/>
    </row>
    <row r="811">
      <c r="D811" s="69"/>
    </row>
    <row r="812">
      <c r="D812" s="69"/>
    </row>
    <row r="813">
      <c r="D813" s="69"/>
    </row>
    <row r="814">
      <c r="D814" s="69"/>
    </row>
    <row r="815">
      <c r="D815" s="69"/>
    </row>
    <row r="816">
      <c r="D816" s="69"/>
    </row>
    <row r="817">
      <c r="D817" s="69"/>
    </row>
    <row r="818">
      <c r="D818" s="69"/>
    </row>
    <row r="819">
      <c r="D819" s="69"/>
    </row>
    <row r="820">
      <c r="D820" s="69"/>
    </row>
    <row r="821">
      <c r="D821" s="69"/>
    </row>
    <row r="822">
      <c r="D822" s="69"/>
    </row>
    <row r="823">
      <c r="D823" s="69"/>
    </row>
    <row r="824">
      <c r="D824" s="69"/>
    </row>
    <row r="825">
      <c r="D825" s="69"/>
    </row>
    <row r="826">
      <c r="D826" s="69"/>
    </row>
    <row r="827">
      <c r="D827" s="69"/>
    </row>
    <row r="828">
      <c r="D828" s="69"/>
    </row>
    <row r="829">
      <c r="D829" s="69"/>
    </row>
    <row r="830">
      <c r="D830" s="69"/>
    </row>
    <row r="831">
      <c r="D831" s="69"/>
    </row>
    <row r="832">
      <c r="D832" s="69"/>
    </row>
    <row r="833">
      <c r="D833" s="69"/>
    </row>
    <row r="834">
      <c r="D834" s="69"/>
    </row>
    <row r="835">
      <c r="D835" s="69"/>
    </row>
    <row r="836">
      <c r="D836" s="69"/>
    </row>
    <row r="837">
      <c r="D837" s="69"/>
    </row>
    <row r="838">
      <c r="D838" s="69"/>
    </row>
    <row r="839">
      <c r="D839" s="69"/>
    </row>
    <row r="840">
      <c r="D840" s="69"/>
    </row>
    <row r="841">
      <c r="D841" s="69"/>
    </row>
    <row r="842">
      <c r="D842" s="69"/>
    </row>
    <row r="843">
      <c r="D843" s="69"/>
    </row>
    <row r="844">
      <c r="D844" s="69"/>
    </row>
    <row r="845">
      <c r="D845" s="69"/>
    </row>
    <row r="846">
      <c r="D846" s="69"/>
    </row>
    <row r="847">
      <c r="D847" s="69"/>
    </row>
    <row r="848">
      <c r="D848" s="69"/>
    </row>
    <row r="849">
      <c r="D849" s="69"/>
    </row>
    <row r="850">
      <c r="D850" s="69"/>
    </row>
    <row r="851">
      <c r="D851" s="69"/>
    </row>
    <row r="852">
      <c r="D852" s="69"/>
    </row>
    <row r="853">
      <c r="D853" s="69"/>
    </row>
    <row r="854">
      <c r="D854" s="69"/>
    </row>
    <row r="855">
      <c r="D855" s="69"/>
    </row>
    <row r="856">
      <c r="D856" s="69"/>
    </row>
    <row r="857">
      <c r="D857" s="69"/>
    </row>
    <row r="858">
      <c r="D858" s="69"/>
    </row>
    <row r="859">
      <c r="D859" s="69"/>
    </row>
    <row r="860">
      <c r="D860" s="69"/>
    </row>
    <row r="861">
      <c r="D861" s="69"/>
    </row>
    <row r="862">
      <c r="D862" s="69"/>
    </row>
    <row r="863">
      <c r="D863" s="69"/>
    </row>
    <row r="864">
      <c r="D864" s="69"/>
    </row>
    <row r="865">
      <c r="D865" s="69"/>
    </row>
    <row r="866">
      <c r="D866" s="69"/>
    </row>
    <row r="867">
      <c r="D867" s="69"/>
    </row>
    <row r="868">
      <c r="D868" s="69"/>
    </row>
    <row r="869">
      <c r="D869" s="69"/>
    </row>
    <row r="870">
      <c r="D870" s="69"/>
    </row>
    <row r="871">
      <c r="D871" s="69"/>
    </row>
    <row r="872">
      <c r="D872" s="69"/>
    </row>
    <row r="873">
      <c r="D873" s="69"/>
    </row>
    <row r="874">
      <c r="D874" s="69"/>
    </row>
    <row r="875">
      <c r="D875" s="69"/>
    </row>
    <row r="876">
      <c r="D876" s="69"/>
    </row>
    <row r="877">
      <c r="D877" s="69"/>
    </row>
    <row r="878">
      <c r="D878" s="69"/>
    </row>
    <row r="879">
      <c r="D879" s="69"/>
    </row>
    <row r="880">
      <c r="D880" s="69"/>
    </row>
    <row r="881">
      <c r="D881" s="69"/>
    </row>
    <row r="882">
      <c r="D882" s="69"/>
    </row>
    <row r="883">
      <c r="D883" s="69"/>
    </row>
    <row r="884">
      <c r="D884" s="69"/>
    </row>
    <row r="885">
      <c r="D885" s="69"/>
    </row>
    <row r="886">
      <c r="D886" s="69"/>
    </row>
    <row r="887">
      <c r="D887" s="69"/>
    </row>
    <row r="888">
      <c r="D888" s="69"/>
    </row>
    <row r="889">
      <c r="D889" s="69"/>
    </row>
    <row r="890">
      <c r="D890" s="69"/>
    </row>
    <row r="891">
      <c r="D891" s="69"/>
    </row>
    <row r="892">
      <c r="D892" s="69"/>
    </row>
    <row r="893">
      <c r="D893" s="69"/>
    </row>
    <row r="894">
      <c r="D894" s="69"/>
    </row>
    <row r="895">
      <c r="D895" s="69"/>
    </row>
    <row r="896">
      <c r="D896" s="69"/>
    </row>
    <row r="897">
      <c r="D897" s="69"/>
    </row>
    <row r="898">
      <c r="D898" s="69"/>
    </row>
    <row r="899">
      <c r="D899" s="69"/>
    </row>
    <row r="900">
      <c r="D900" s="69"/>
    </row>
    <row r="901">
      <c r="D901" s="69"/>
    </row>
    <row r="902">
      <c r="D902" s="69"/>
    </row>
    <row r="903">
      <c r="D903" s="69"/>
    </row>
    <row r="904">
      <c r="D904" s="69"/>
    </row>
    <row r="905">
      <c r="D905" s="69"/>
    </row>
    <row r="906">
      <c r="D906" s="69"/>
    </row>
    <row r="907">
      <c r="D907" s="69"/>
    </row>
    <row r="908">
      <c r="D908" s="69"/>
    </row>
    <row r="909">
      <c r="D909" s="69"/>
    </row>
    <row r="910">
      <c r="D910" s="69"/>
    </row>
    <row r="911">
      <c r="D911" s="69"/>
    </row>
    <row r="912">
      <c r="D912" s="69"/>
    </row>
    <row r="913">
      <c r="D913" s="69"/>
    </row>
    <row r="914">
      <c r="D914" s="69"/>
    </row>
    <row r="915">
      <c r="D915" s="69"/>
    </row>
    <row r="916">
      <c r="D916" s="69"/>
    </row>
    <row r="917">
      <c r="D917" s="69"/>
    </row>
    <row r="918">
      <c r="D918" s="69"/>
    </row>
    <row r="919">
      <c r="D919" s="69"/>
    </row>
    <row r="920">
      <c r="D920" s="69"/>
    </row>
    <row r="921">
      <c r="D921" s="69"/>
    </row>
    <row r="922">
      <c r="D922" s="69"/>
    </row>
    <row r="923">
      <c r="D923" s="69"/>
    </row>
    <row r="924">
      <c r="D924" s="69"/>
    </row>
    <row r="925">
      <c r="D925" s="69"/>
    </row>
    <row r="926">
      <c r="D926" s="69"/>
    </row>
    <row r="927">
      <c r="D927" s="69"/>
    </row>
    <row r="928">
      <c r="D928" s="69"/>
    </row>
    <row r="929">
      <c r="D929" s="69"/>
    </row>
    <row r="930">
      <c r="D930" s="69"/>
    </row>
    <row r="931">
      <c r="D931" s="69"/>
    </row>
    <row r="932">
      <c r="D932" s="69"/>
    </row>
    <row r="933">
      <c r="D933" s="69"/>
    </row>
    <row r="934">
      <c r="D934" s="69"/>
    </row>
    <row r="935">
      <c r="D935" s="69"/>
    </row>
    <row r="936">
      <c r="D936" s="69"/>
    </row>
    <row r="937">
      <c r="D937" s="69"/>
    </row>
    <row r="938">
      <c r="D938" s="69"/>
    </row>
    <row r="939">
      <c r="D939" s="69"/>
    </row>
    <row r="940">
      <c r="D940" s="69"/>
    </row>
    <row r="941">
      <c r="D941" s="69"/>
    </row>
    <row r="942">
      <c r="D942" s="69"/>
    </row>
    <row r="943">
      <c r="D943" s="69"/>
    </row>
    <row r="944">
      <c r="D944" s="69"/>
    </row>
    <row r="945">
      <c r="D945" s="69"/>
    </row>
    <row r="946">
      <c r="D946" s="69"/>
    </row>
    <row r="947">
      <c r="D947" s="69"/>
    </row>
    <row r="948">
      <c r="D948" s="69"/>
    </row>
    <row r="949">
      <c r="D949" s="69"/>
    </row>
    <row r="950">
      <c r="D950" s="69"/>
    </row>
    <row r="951">
      <c r="D951" s="69"/>
    </row>
    <row r="952">
      <c r="D952" s="69"/>
    </row>
    <row r="953">
      <c r="D953" s="69"/>
    </row>
    <row r="954">
      <c r="D954" s="69"/>
    </row>
    <row r="955">
      <c r="D955" s="69"/>
    </row>
    <row r="956">
      <c r="D956" s="69"/>
    </row>
    <row r="957">
      <c r="D957" s="69"/>
    </row>
    <row r="958">
      <c r="D958" s="69"/>
    </row>
    <row r="959">
      <c r="D959" s="69"/>
    </row>
    <row r="960">
      <c r="D960" s="69"/>
    </row>
    <row r="961">
      <c r="D961" s="69"/>
    </row>
    <row r="962">
      <c r="D962" s="69"/>
    </row>
    <row r="963">
      <c r="D963" s="69"/>
    </row>
    <row r="964">
      <c r="D964" s="69"/>
    </row>
    <row r="965">
      <c r="D965" s="69"/>
    </row>
    <row r="966">
      <c r="D966" s="69"/>
    </row>
    <row r="967">
      <c r="D967" s="69"/>
    </row>
    <row r="968">
      <c r="D968" s="69"/>
    </row>
    <row r="969">
      <c r="D969" s="69"/>
    </row>
    <row r="970">
      <c r="D970" s="69"/>
    </row>
    <row r="971">
      <c r="D971" s="69"/>
    </row>
    <row r="972">
      <c r="D972" s="69"/>
    </row>
    <row r="973">
      <c r="D973" s="69"/>
    </row>
    <row r="974">
      <c r="D974" s="69"/>
    </row>
    <row r="975">
      <c r="D975" s="69"/>
    </row>
    <row r="976">
      <c r="D976" s="69"/>
    </row>
    <row r="977">
      <c r="D977" s="69"/>
    </row>
    <row r="978">
      <c r="D978" s="69"/>
    </row>
    <row r="979">
      <c r="D979" s="69"/>
    </row>
    <row r="980">
      <c r="D980" s="69"/>
    </row>
    <row r="981">
      <c r="D981" s="69"/>
    </row>
    <row r="982">
      <c r="D982" s="69"/>
    </row>
    <row r="983">
      <c r="D983" s="69"/>
    </row>
    <row r="984">
      <c r="D984" s="69"/>
    </row>
    <row r="985">
      <c r="D985" s="69"/>
    </row>
    <row r="986">
      <c r="D986" s="69"/>
    </row>
    <row r="987">
      <c r="D987" s="69"/>
    </row>
    <row r="988">
      <c r="D988" s="69"/>
    </row>
    <row r="989">
      <c r="D989" s="69"/>
    </row>
    <row r="990">
      <c r="D990" s="69"/>
    </row>
    <row r="991">
      <c r="D991" s="69"/>
    </row>
    <row r="992">
      <c r="D992" s="69"/>
    </row>
    <row r="993">
      <c r="D993" s="69"/>
    </row>
    <row r="994">
      <c r="D994" s="69"/>
    </row>
    <row r="995">
      <c r="D995" s="69"/>
    </row>
    <row r="996">
      <c r="D996" s="69"/>
    </row>
    <row r="997">
      <c r="D997" s="69"/>
    </row>
    <row r="998">
      <c r="D998" s="69"/>
    </row>
    <row r="999">
      <c r="D999" s="69"/>
    </row>
    <row r="1000">
      <c r="D1000" s="69"/>
    </row>
  </sheetData>
  <hyperlinks>
    <hyperlink r:id="rId1" ref="C5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</hyperlinks>
  <drawing r:id="rId10"/>
</worksheet>
</file>